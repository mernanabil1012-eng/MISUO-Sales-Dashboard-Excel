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ownloads\كورس data analysis\Excel Part\Excel for data analysis\"/>
    </mc:Choice>
  </mc:AlternateContent>
  <bookViews>
    <workbookView xWindow="-120" yWindow="-120" windowWidth="20736" windowHeight="11040" activeTab="3"/>
  </bookViews>
  <sheets>
    <sheet name="الارشادات" sheetId="3" r:id="rId1"/>
    <sheet name="البيانات" sheetId="1" r:id="rId2"/>
    <sheet name="pivot table" sheetId="4" r:id="rId3"/>
    <sheet name="Dashboard" sheetId="9" r:id="rId4"/>
  </sheets>
  <definedNames>
    <definedName name="_xlnm._FilterDatabase" localSheetId="1" hidden="1">البيانات!$A$1:$Y$123</definedName>
    <definedName name="Slicer_حاله_التسليم_في_الموعد">#N/A</definedName>
    <definedName name="Slicer_نوع_العميل1">#N/A</definedName>
  </definedNames>
  <calcPr calcId="162913"/>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123" i="1" l="1"/>
  <c r="V123" i="1" s="1"/>
  <c r="U122" i="1"/>
  <c r="V122" i="1" s="1"/>
  <c r="U121" i="1"/>
  <c r="V121" i="1" s="1"/>
  <c r="U120" i="1"/>
  <c r="V120" i="1" s="1"/>
  <c r="U119" i="1"/>
  <c r="V119" i="1" s="1"/>
  <c r="U118" i="1"/>
  <c r="V118" i="1" s="1"/>
  <c r="U113" i="1"/>
  <c r="V113" i="1" s="1"/>
  <c r="U112" i="1"/>
  <c r="V112" i="1" s="1"/>
  <c r="U111" i="1"/>
  <c r="V111" i="1" s="1"/>
  <c r="U110" i="1"/>
  <c r="V110" i="1" s="1"/>
  <c r="U109" i="1"/>
  <c r="V109" i="1" s="1"/>
  <c r="U108" i="1"/>
  <c r="V108" i="1" s="1"/>
  <c r="U107" i="1"/>
  <c r="V107" i="1" s="1"/>
  <c r="U106" i="1"/>
  <c r="V106" i="1" s="1"/>
  <c r="U105" i="1"/>
  <c r="V105" i="1" s="1"/>
  <c r="U104" i="1"/>
  <c r="V104" i="1" s="1"/>
  <c r="U103" i="1"/>
  <c r="V103" i="1" s="1"/>
  <c r="U102" i="1"/>
  <c r="V102" i="1" s="1"/>
  <c r="U101" i="1"/>
  <c r="V101" i="1" s="1"/>
  <c r="U100" i="1"/>
  <c r="V100" i="1" s="1"/>
  <c r="U99" i="1"/>
  <c r="V99" i="1" s="1"/>
  <c r="U98" i="1"/>
  <c r="V98" i="1" s="1"/>
  <c r="U97" i="1"/>
  <c r="V97" i="1" s="1"/>
  <c r="U96" i="1"/>
  <c r="V96" i="1" s="1"/>
  <c r="U95" i="1"/>
  <c r="V95" i="1" s="1"/>
  <c r="U93" i="1"/>
  <c r="V93" i="1" s="1"/>
  <c r="U92" i="1"/>
  <c r="V92" i="1" s="1"/>
  <c r="U91" i="1"/>
  <c r="V91" i="1" s="1"/>
  <c r="U90" i="1"/>
  <c r="V90" i="1" s="1"/>
  <c r="U89" i="1"/>
  <c r="V89" i="1" s="1"/>
  <c r="U88" i="1"/>
  <c r="V88" i="1" s="1"/>
  <c r="U87" i="1"/>
  <c r="V87" i="1" s="1"/>
  <c r="U86" i="1"/>
  <c r="V86" i="1" s="1"/>
  <c r="U85" i="1"/>
  <c r="V85" i="1" s="1"/>
  <c r="U84" i="1"/>
  <c r="V84" i="1" s="1"/>
  <c r="U83" i="1"/>
  <c r="V83" i="1" s="1"/>
  <c r="U81" i="1"/>
  <c r="V81" i="1" s="1"/>
  <c r="U80" i="1"/>
  <c r="V80" i="1" s="1"/>
  <c r="U79" i="1"/>
  <c r="V79" i="1" s="1"/>
  <c r="U78" i="1"/>
  <c r="V78" i="1" s="1"/>
  <c r="U77" i="1"/>
  <c r="V77" i="1" s="1"/>
  <c r="U76" i="1"/>
  <c r="V76" i="1" s="1"/>
  <c r="U74" i="1"/>
  <c r="V74" i="1" s="1"/>
  <c r="U72" i="1"/>
  <c r="V72" i="1" s="1"/>
  <c r="U71" i="1"/>
  <c r="V71" i="1" s="1"/>
  <c r="U70" i="1"/>
  <c r="V70" i="1" s="1"/>
  <c r="U69" i="1"/>
  <c r="V69" i="1" s="1"/>
  <c r="U68" i="1"/>
  <c r="V68" i="1" s="1"/>
  <c r="U67" i="1"/>
  <c r="V67" i="1" s="1"/>
  <c r="U66" i="1"/>
  <c r="V66" i="1" s="1"/>
  <c r="U65" i="1"/>
  <c r="V65" i="1" s="1"/>
  <c r="U64" i="1"/>
  <c r="V64" i="1" s="1"/>
  <c r="U63" i="1"/>
  <c r="V63" i="1" s="1"/>
  <c r="U62" i="1"/>
  <c r="V62" i="1" s="1"/>
  <c r="U60" i="1"/>
  <c r="V60" i="1" s="1"/>
  <c r="U59" i="1"/>
  <c r="V59" i="1" s="1"/>
  <c r="U58" i="1"/>
  <c r="V58" i="1" s="1"/>
  <c r="U57" i="1"/>
  <c r="V57" i="1" s="1"/>
  <c r="U54" i="1"/>
  <c r="V54" i="1" s="1"/>
  <c r="U53" i="1"/>
  <c r="V53" i="1" s="1"/>
  <c r="U52" i="1"/>
  <c r="V52" i="1" s="1"/>
  <c r="U51" i="1"/>
  <c r="V51" i="1" s="1"/>
  <c r="U50" i="1"/>
  <c r="V50" i="1" s="1"/>
  <c r="U49" i="1"/>
  <c r="V49" i="1" s="1"/>
  <c r="U48" i="1"/>
  <c r="V48" i="1" s="1"/>
  <c r="U46" i="1"/>
  <c r="V46" i="1" s="1"/>
  <c r="U45" i="1"/>
  <c r="V45" i="1" s="1"/>
  <c r="U44" i="1"/>
  <c r="V44" i="1" s="1"/>
  <c r="U43" i="1"/>
  <c r="V43" i="1" s="1"/>
  <c r="U42" i="1"/>
  <c r="V42" i="1" s="1"/>
  <c r="U41" i="1"/>
  <c r="V41" i="1" s="1"/>
  <c r="U39" i="1"/>
  <c r="V39" i="1" s="1"/>
  <c r="U38" i="1"/>
  <c r="V38" i="1" s="1"/>
  <c r="U37" i="1"/>
  <c r="V37" i="1" s="1"/>
  <c r="U34" i="1"/>
  <c r="V34" i="1" s="1"/>
  <c r="U33" i="1"/>
  <c r="V33" i="1" s="1"/>
  <c r="U31" i="1"/>
  <c r="V31" i="1" s="1"/>
  <c r="U30" i="1"/>
  <c r="V30" i="1" s="1"/>
  <c r="U29" i="1"/>
  <c r="V29" i="1" s="1"/>
  <c r="U28" i="1"/>
  <c r="V28" i="1" s="1"/>
  <c r="U27" i="1"/>
  <c r="V27" i="1" s="1"/>
  <c r="U26" i="1"/>
  <c r="V26" i="1" s="1"/>
  <c r="U25" i="1"/>
  <c r="V25" i="1" s="1"/>
  <c r="U23" i="1"/>
  <c r="V23" i="1" s="1"/>
  <c r="U22" i="1"/>
  <c r="V22" i="1" s="1"/>
  <c r="U21" i="1"/>
  <c r="V21" i="1" s="1"/>
  <c r="U20" i="1"/>
  <c r="V20" i="1" s="1"/>
  <c r="U19" i="1"/>
  <c r="V19" i="1" s="1"/>
  <c r="U17" i="1"/>
  <c r="V17" i="1" s="1"/>
  <c r="U16" i="1"/>
  <c r="V16" i="1" s="1"/>
  <c r="U15" i="1"/>
  <c r="V15" i="1" s="1"/>
  <c r="U13" i="1"/>
  <c r="V13" i="1" s="1"/>
  <c r="U12" i="1"/>
  <c r="V12" i="1" s="1"/>
  <c r="U11" i="1"/>
  <c r="V11" i="1" s="1"/>
  <c r="U10" i="1"/>
  <c r="V10" i="1" s="1"/>
  <c r="U9" i="1"/>
  <c r="V9" i="1" s="1"/>
  <c r="U8" i="1"/>
  <c r="V8" i="1" s="1"/>
  <c r="U7" i="1"/>
  <c r="V7" i="1" s="1"/>
  <c r="U5" i="1"/>
  <c r="V5" i="1" s="1"/>
  <c r="L17" i="4"/>
  <c r="S16" i="4"/>
  <c r="E14" i="4"/>
  <c r="W65" i="1" l="1"/>
  <c r="W33" i="1"/>
  <c r="W31" i="1"/>
  <c r="W123" i="1"/>
  <c r="W122" i="1"/>
  <c r="W121" i="1"/>
  <c r="W120" i="1"/>
  <c r="W119" i="1"/>
  <c r="W118" i="1"/>
  <c r="W113" i="1"/>
  <c r="W112" i="1"/>
  <c r="W111" i="1"/>
  <c r="W110" i="1"/>
  <c r="W109" i="1"/>
  <c r="W108" i="1"/>
  <c r="W107" i="1"/>
  <c r="W106" i="1"/>
  <c r="W105" i="1"/>
  <c r="W104" i="1"/>
  <c r="W103" i="1"/>
  <c r="W102" i="1"/>
  <c r="W101" i="1"/>
  <c r="W100" i="1"/>
  <c r="W99" i="1"/>
  <c r="W98" i="1"/>
  <c r="W97" i="1"/>
  <c r="W96" i="1"/>
  <c r="W95" i="1"/>
  <c r="W93" i="1"/>
  <c r="W92" i="1"/>
  <c r="W91" i="1"/>
  <c r="W90" i="1"/>
  <c r="W89" i="1"/>
  <c r="W88" i="1"/>
  <c r="W87" i="1"/>
  <c r="W86" i="1"/>
  <c r="W85" i="1"/>
  <c r="W84" i="1"/>
  <c r="W83" i="1"/>
  <c r="W81" i="1"/>
  <c r="W80" i="1"/>
  <c r="W79" i="1"/>
  <c r="W78" i="1"/>
  <c r="W77" i="1"/>
  <c r="W76" i="1"/>
  <c r="W74" i="1"/>
  <c r="W72" i="1"/>
  <c r="W71" i="1"/>
  <c r="W70" i="1"/>
  <c r="W69" i="1"/>
  <c r="W68" i="1"/>
  <c r="W67" i="1"/>
  <c r="W66" i="1"/>
  <c r="W64" i="1"/>
  <c r="W63" i="1"/>
  <c r="W62" i="1"/>
  <c r="W60" i="1"/>
  <c r="W59" i="1"/>
  <c r="W58" i="1"/>
  <c r="W57" i="1"/>
  <c r="W54" i="1"/>
  <c r="W53" i="1"/>
  <c r="W52" i="1"/>
  <c r="W51" i="1"/>
  <c r="W50" i="1"/>
  <c r="W49" i="1"/>
  <c r="W48" i="1"/>
  <c r="W46" i="1"/>
  <c r="W45" i="1"/>
  <c r="W44" i="1"/>
  <c r="W43" i="1"/>
  <c r="W42" i="1"/>
  <c r="W41" i="1"/>
  <c r="W39" i="1"/>
  <c r="W38" i="1"/>
  <c r="W37" i="1"/>
  <c r="W30" i="1"/>
  <c r="W29" i="1"/>
  <c r="W28" i="1"/>
  <c r="W27" i="1"/>
  <c r="W26" i="1"/>
  <c r="W25" i="1"/>
  <c r="W23" i="1"/>
  <c r="W22" i="1"/>
  <c r="W21" i="1"/>
  <c r="W20" i="1"/>
  <c r="W19" i="1"/>
  <c r="W17" i="1"/>
  <c r="W16" i="1"/>
  <c r="W15" i="1"/>
  <c r="W13" i="1"/>
  <c r="W12" i="1"/>
  <c r="W11" i="1"/>
  <c r="W10" i="1"/>
  <c r="W9" i="1"/>
  <c r="W8" i="1"/>
  <c r="W7" i="1"/>
  <c r="W3" i="1"/>
  <c r="W2" i="1"/>
  <c r="W5" i="1"/>
</calcChain>
</file>

<file path=xl/sharedStrings.xml><?xml version="1.0" encoding="utf-8"?>
<sst xmlns="http://schemas.openxmlformats.org/spreadsheetml/2006/main" count="1683" uniqueCount="365">
  <si>
    <t>أسم العميل</t>
  </si>
  <si>
    <t>العنوان</t>
  </si>
  <si>
    <t>المنتج</t>
  </si>
  <si>
    <t>تاريخ التسليم</t>
  </si>
  <si>
    <t>المسئول عن التسليم</t>
  </si>
  <si>
    <t>م</t>
  </si>
  <si>
    <t xml:space="preserve">سعر البيع </t>
  </si>
  <si>
    <t xml:space="preserve">طريقه الدفع </t>
  </si>
  <si>
    <t>ميعاد التسليم</t>
  </si>
  <si>
    <t>ميعاد الطلب</t>
  </si>
  <si>
    <t xml:space="preserve">خالد عبد القوى </t>
  </si>
  <si>
    <t xml:space="preserve">سرير منطبق الحديد ابيض والقماش ابيض </t>
  </si>
  <si>
    <t>مسبق الدفع</t>
  </si>
  <si>
    <t>محمود</t>
  </si>
  <si>
    <t xml:space="preserve">سرير منطبق اسود والقماش اسود </t>
  </si>
  <si>
    <t>سعيد</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</si>
  <si>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</si>
  <si>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</si>
  <si>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</si>
  <si>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</si>
  <si>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</si>
  <si>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</si>
  <si>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شيك هومز </t>
  </si>
  <si>
    <t xml:space="preserve">كنبه سرير رمادى </t>
  </si>
  <si>
    <t xml:space="preserve">احمد </t>
  </si>
  <si>
    <t>التجمع الخامس</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</si>
  <si>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</si>
  <si>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</si>
  <si>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</si>
  <si>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</si>
  <si>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</si>
  <si>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</si>
  <si>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</si>
  <si>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</si>
  <si>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 xml:space="preserve">العباسيه </t>
  </si>
  <si>
    <t xml:space="preserve">٢ كنبه سحاره بدون مخدع </t>
  </si>
  <si>
    <t xml:space="preserve">على رشوان </t>
  </si>
  <si>
    <t>مصر الجديده</t>
  </si>
  <si>
    <t>سرير نوفال ابيض مقاس ٨٠</t>
  </si>
  <si>
    <t>شيك هومز</t>
  </si>
  <si>
    <t xml:space="preserve">فيصل نعيم </t>
  </si>
  <si>
    <t xml:space="preserve">التجمع الخامس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</si>
  <si>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</si>
  <si>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</si>
  <si>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</si>
  <si>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</si>
  <si>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</si>
  <si>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</si>
  <si>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</si>
  <si>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</si>
  <si>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</si>
  <si>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</si>
  <si>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</si>
  <si>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</si>
  <si>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</si>
  <si>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</si>
  <si>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</si>
  <si>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</si>
  <si>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</si>
  <si>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</si>
  <si>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</si>
  <si>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</si>
  <si>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</si>
  <si>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</si>
  <si>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</si>
  <si>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</si>
  <si>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</si>
  <si>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</si>
  <si>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</si>
  <si>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</si>
  <si>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</si>
  <si>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</si>
  <si>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</si>
  <si>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</si>
  <si>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</si>
  <si>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</si>
  <si>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</si>
  <si>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</si>
  <si>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</si>
  <si>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</si>
  <si>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</si>
  <si>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</si>
  <si>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</si>
  <si>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</si>
  <si>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</si>
  <si>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</si>
  <si>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حاتم العيسوي </t>
  </si>
  <si>
    <t>سرير منطبق اسود حديد وقماش</t>
  </si>
  <si>
    <t>صفاء</t>
  </si>
  <si>
    <t>المعادى</t>
  </si>
  <si>
    <t xml:space="preserve">اسراء ابراهيم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</si>
  <si>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</si>
  <si>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</si>
  <si>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</si>
  <si>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</si>
  <si>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</si>
  <si>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</si>
  <si>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</si>
  <si>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</si>
  <si>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</si>
  <si>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</si>
  <si>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</si>
  <si>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</si>
  <si>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</si>
  <si>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</si>
  <si>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</si>
  <si>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</si>
  <si>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</si>
  <si>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</si>
  <si>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</si>
  <si>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</si>
  <si>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</si>
  <si>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</si>
  <si>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</si>
  <si>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</si>
  <si>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</si>
  <si>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</si>
  <si>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</si>
  <si>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</si>
  <si>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</si>
  <si>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</si>
  <si>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</si>
  <si>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</si>
  <si>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</si>
  <si>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</si>
  <si>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</si>
  <si>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</si>
  <si>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</si>
  <si>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</si>
  <si>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</si>
  <si>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</si>
  <si>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</si>
  <si>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</si>
  <si>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</si>
  <si>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ركنة</t>
  </si>
  <si>
    <t>سحارة</t>
  </si>
  <si>
    <t>ركنة بسرير</t>
  </si>
  <si>
    <t>كرسى</t>
  </si>
  <si>
    <t>4*1</t>
  </si>
  <si>
    <t>دورين</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</si>
  <si>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</si>
  <si>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</si>
  <si>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</si>
  <si>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</si>
  <si>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</si>
  <si>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</si>
  <si>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</si>
  <si>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</si>
  <si>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</si>
  <si>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</si>
  <si>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</si>
  <si>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</si>
  <si>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</si>
  <si>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</si>
  <si>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</si>
  <si>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</si>
  <si>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</si>
  <si>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EL-Maadi</t>
  </si>
  <si>
    <t>Mohamed Ayman</t>
  </si>
  <si>
    <t>Madinet Badr</t>
  </si>
  <si>
    <t>2 ميكانزم</t>
  </si>
  <si>
    <t>بمكتبة</t>
  </si>
  <si>
    <t>رف سحاب</t>
  </si>
  <si>
    <t>الحالة</t>
  </si>
  <si>
    <t>اسامه</t>
  </si>
  <si>
    <t>تم التسليم</t>
  </si>
  <si>
    <t xml:space="preserve">المخزن ابو الغيط </t>
  </si>
  <si>
    <t>اسود وبنى</t>
  </si>
  <si>
    <t>ولاء بدوى</t>
  </si>
  <si>
    <t>عبد الرحمن يسري</t>
  </si>
  <si>
    <t>كنبه</t>
  </si>
  <si>
    <t xml:space="preserve">اسود </t>
  </si>
  <si>
    <t>الحج محمد السويس</t>
  </si>
  <si>
    <t xml:space="preserve">السويس </t>
  </si>
  <si>
    <t>السويس</t>
  </si>
  <si>
    <t>فانتاستك</t>
  </si>
  <si>
    <t>ملون</t>
  </si>
  <si>
    <t>فنيسيا</t>
  </si>
  <si>
    <t>رصاصي مشجر</t>
  </si>
  <si>
    <t>بيج</t>
  </si>
  <si>
    <t>شيزلونج</t>
  </si>
  <si>
    <t xml:space="preserve">نبيتى </t>
  </si>
  <si>
    <t>عمرو الأسود</t>
  </si>
  <si>
    <t>الزمالك</t>
  </si>
  <si>
    <t>مخزن شيك هومز</t>
  </si>
  <si>
    <t xml:space="preserve">بترولى </t>
  </si>
  <si>
    <t xml:space="preserve">تم التسليم بمعرفه الحج سيد </t>
  </si>
  <si>
    <t>التجمع</t>
  </si>
  <si>
    <t>keira</t>
  </si>
  <si>
    <t xml:space="preserve">نوفال </t>
  </si>
  <si>
    <t>١٤٠/١٠٠</t>
  </si>
  <si>
    <t>بينك</t>
  </si>
  <si>
    <t>tarek</t>
  </si>
  <si>
    <t>reem</t>
  </si>
  <si>
    <t>البطاش اسكندريه</t>
  </si>
  <si>
    <t>١٠٠/١٤٠</t>
  </si>
  <si>
    <t>هشام سامى</t>
  </si>
  <si>
    <t>s03163</t>
  </si>
  <si>
    <t>41 كومبوند جولدن جستس الدور 4 شقه 4</t>
  </si>
  <si>
    <t>بلحه</t>
  </si>
  <si>
    <t>خشب بنى فاتح</t>
  </si>
  <si>
    <t>الوان</t>
  </si>
  <si>
    <t>فاطمه محمد</t>
  </si>
  <si>
    <t>بولا هومزمارت</t>
  </si>
  <si>
    <t xml:space="preserve">محمد شكرى </t>
  </si>
  <si>
    <t>ارينا</t>
  </si>
  <si>
    <t>بترولى</t>
  </si>
  <si>
    <t>مسبق</t>
  </si>
  <si>
    <t>so3290</t>
  </si>
  <si>
    <t>منزلى</t>
  </si>
  <si>
    <t>مدينتى</t>
  </si>
  <si>
    <t>s_6725</t>
  </si>
  <si>
    <t>حماده</t>
  </si>
  <si>
    <t>صفاء عبد الباقي</t>
  </si>
  <si>
    <t xml:space="preserve">كينج </t>
  </si>
  <si>
    <t>s_6806</t>
  </si>
  <si>
    <t>s-6626</t>
  </si>
  <si>
    <t xml:space="preserve">دورين </t>
  </si>
  <si>
    <t xml:space="preserve">رندا العامرى </t>
  </si>
  <si>
    <t xml:space="preserve">كيفنج </t>
  </si>
  <si>
    <t xml:space="preserve">فردى </t>
  </si>
  <si>
    <t>محمد حمدى</t>
  </si>
  <si>
    <t xml:space="preserve">كوين </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</si>
  <si>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</si>
  <si>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</si>
  <si>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</si>
  <si>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</si>
  <si>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</si>
  <si>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</si>
  <si>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</si>
  <si>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</si>
  <si>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</si>
  <si>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</si>
  <si>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</si>
  <si>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</si>
  <si>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</si>
  <si>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</si>
  <si>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</si>
  <si>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</si>
  <si>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بنى غامق</t>
  </si>
  <si>
    <t>نور</t>
  </si>
  <si>
    <t xml:space="preserve">بنى غامق </t>
  </si>
  <si>
    <t>هناء اسامه</t>
  </si>
  <si>
    <t>القطاميه</t>
  </si>
  <si>
    <t>s_7152</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</si>
  <si>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</si>
  <si>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</si>
  <si>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</si>
  <si>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</si>
  <si>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</si>
  <si>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</si>
  <si>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</si>
  <si>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</si>
  <si>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</si>
  <si>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</si>
  <si>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</si>
  <si>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</si>
  <si>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</si>
  <si>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</si>
  <si>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</si>
  <si>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</si>
  <si>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</si>
  <si>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</si>
  <si>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</si>
  <si>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</si>
  <si>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</si>
  <si>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لاغي</t>
  </si>
  <si>
    <t>تم التسليم محمود علي</t>
  </si>
  <si>
    <t>ملغي</t>
  </si>
  <si>
    <t>رمادي</t>
  </si>
  <si>
    <t>بنفسجي</t>
  </si>
  <si>
    <t>الاثاث</t>
  </si>
  <si>
    <t>وصف الاثاث</t>
  </si>
  <si>
    <t>ترابيزه دوران ميكانيزم</t>
  </si>
  <si>
    <t xml:space="preserve">ترابيزه مكتبه </t>
  </si>
  <si>
    <t>سرير فانتاستك دورين مقاس 100</t>
  </si>
  <si>
    <t>سرير كيفنج 90 ازرق</t>
  </si>
  <si>
    <t>سرير كينج دورين ابيض مقاس 100</t>
  </si>
  <si>
    <t>سرير كينج دورين اسود مقاس 100</t>
  </si>
  <si>
    <t>سرير كينج دورين اسود مقاس 90</t>
  </si>
  <si>
    <t xml:space="preserve">سرير كينج دورين اسود مقاس </t>
  </si>
  <si>
    <t>سرير كينج دورين اسود وبني مقاس 100</t>
  </si>
  <si>
    <t>سرير كينج دورين اسود مقاس 80</t>
  </si>
  <si>
    <t xml:space="preserve">سرير نوفال 120 رمادي </t>
  </si>
  <si>
    <t>سرير نوفال 90 اسود</t>
  </si>
  <si>
    <t>سرير نوفال 80 اسود</t>
  </si>
  <si>
    <t xml:space="preserve">سرير نوفال 100 رمادى </t>
  </si>
  <si>
    <t xml:space="preserve">سرير نوفال ابيض مقاس 80 </t>
  </si>
  <si>
    <t>سرير نوفال بينك ١٤٠/١٠٠</t>
  </si>
  <si>
    <t>سرير نوفال بينك ١٠٠/١٤٠</t>
  </si>
  <si>
    <t>سرير اسبانى رمادى ١٢٠</t>
  </si>
  <si>
    <t>سرير فورجينا ابيض مقاس ١٢٠</t>
  </si>
  <si>
    <t>سرير فردي بلحه مقاس ١٤٠</t>
  </si>
  <si>
    <t>سرير فورجينا فردي مقاس 160</t>
  </si>
  <si>
    <t>سرير كوين فردي مقاس 160</t>
  </si>
  <si>
    <t>سرير منطبق اسود اسود والقماش بيج</t>
  </si>
  <si>
    <t>سرير منطبق اسود وقماش اسود</t>
  </si>
  <si>
    <t>سرير منطبق اسود والقماش اسود</t>
  </si>
  <si>
    <t>شيزلونج اسود حديد والقماش نبيتي</t>
  </si>
  <si>
    <t>كنبه سرير ٤ حركه اسود</t>
  </si>
  <si>
    <t>كنبه سرير ٤ حركه اسود والقماش نبيتي</t>
  </si>
  <si>
    <t>كنبه سرير ٤ حركه اسود والقماش بترولي</t>
  </si>
  <si>
    <t>كنبه سرير ٤ حركه اسود والقماش روك10</t>
  </si>
  <si>
    <t xml:space="preserve">كنبه سرير ٤ حركه اسود </t>
  </si>
  <si>
    <t>كنبه t1</t>
  </si>
  <si>
    <t>كنبه فنيسيا اسود والقماش رصاصي مشجر</t>
  </si>
  <si>
    <t>ترابيزه قهوه علويه برف سحاب</t>
  </si>
  <si>
    <t>27/7/2024</t>
  </si>
  <si>
    <t>14/9/2024</t>
  </si>
  <si>
    <t xml:space="preserve"> </t>
  </si>
  <si>
    <t>المقطم</t>
  </si>
  <si>
    <t>القاهره</t>
  </si>
  <si>
    <t xml:space="preserve">العجوزه </t>
  </si>
  <si>
    <t xml:space="preserve"> الجيزه</t>
  </si>
  <si>
    <t xml:space="preserve">سموحه </t>
  </si>
  <si>
    <t xml:space="preserve">سيدى عبد الرحمن </t>
  </si>
  <si>
    <t xml:space="preserve"> الساحل الشمالى </t>
  </si>
  <si>
    <t>مدينه نصر</t>
  </si>
  <si>
    <t>المنطقه</t>
  </si>
  <si>
    <t>الشروق القاهره</t>
  </si>
  <si>
    <t>حدايق الاهرام</t>
  </si>
  <si>
    <t>اسيوط</t>
  </si>
  <si>
    <t>المخزن ابو الغيط</t>
  </si>
  <si>
    <t>شبرا</t>
  </si>
  <si>
    <t>الإسكندرية</t>
  </si>
  <si>
    <t>القناطر</t>
  </si>
  <si>
    <t>المعادي</t>
  </si>
  <si>
    <t>الشيخ زايد</t>
  </si>
  <si>
    <t>مدينتي</t>
  </si>
  <si>
    <t>نوع العميل</t>
  </si>
  <si>
    <t>فرد</t>
  </si>
  <si>
    <t>شركات</t>
  </si>
  <si>
    <t>مده التوصيل</t>
  </si>
  <si>
    <t>09/31/2024</t>
  </si>
  <si>
    <t>Total Sales</t>
  </si>
  <si>
    <t xml:space="preserve">Sum of سعر البيع </t>
  </si>
  <si>
    <t>total orders</t>
  </si>
  <si>
    <t>Count of أسم العميل</t>
  </si>
  <si>
    <t>Average selling Price</t>
  </si>
  <si>
    <t xml:space="preserve">Average of سعر البيع </t>
  </si>
  <si>
    <t>Sales By platform</t>
  </si>
  <si>
    <t>المنصه</t>
  </si>
  <si>
    <t>هومزمارت</t>
  </si>
  <si>
    <t>فيس بوك</t>
  </si>
  <si>
    <t xml:space="preserve">اوسكار ريتن </t>
  </si>
  <si>
    <t xml:space="preserve">منزلى </t>
  </si>
  <si>
    <t xml:space="preserve">كيمت </t>
  </si>
  <si>
    <t>Row Labels</t>
  </si>
  <si>
    <t>Grand Total</t>
  </si>
  <si>
    <t>Best Seller Product</t>
  </si>
  <si>
    <t>(blank)</t>
  </si>
  <si>
    <t>Best Color Sold</t>
  </si>
  <si>
    <t>التسليم في الموعد</t>
  </si>
  <si>
    <t>on-time Delivery Rate</t>
  </si>
  <si>
    <t>حاله التسليم في الموعد</t>
  </si>
  <si>
    <t>Count of حاله التسليم في الموعد</t>
  </si>
  <si>
    <t>في الموعد</t>
  </si>
  <si>
    <t>متاخر</t>
  </si>
  <si>
    <t>Delivery Status BreakDown</t>
  </si>
  <si>
    <t>Count of الحالة</t>
  </si>
  <si>
    <t>Orders By Area</t>
  </si>
  <si>
    <t>6اكتوبر</t>
  </si>
  <si>
    <t>Count of الاثاث</t>
  </si>
  <si>
    <t>Count of المنصه</t>
  </si>
  <si>
    <t>Count of اللون المعدن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</si>
</sst>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_(* #,##0.000_);_(* \(#,##0.000\);_(* &quot;-&quot;??_);_(@_)"/>
  </numFmts>
  <fonts count="16" x14ac:knownFonts="1">
    <font>
      <sz val="11"/>
      <color theme="1"/>
      <name val="Calibri"/>
      <family val="2"/>
      <scheme val="minor"/>
    </font>
    <font>
      <b/>
      <sz val="12"/>
      <color theme="1"/>
      <name val="Calibri"/>
      <family val="2"/>
      <scheme val="minor"/>
    </font>
    <font>
      <sz val="11"/>
      <name val="Calibri"/>
      <family val="2"/>
      <scheme val="minor"/>
    </font>
    <font>
      <sz val="16"/>
      <color theme="1"/>
      <name val="Calibri"/>
      <family val="2"/>
      <scheme val="minor"/>
    </font>
    <font>
      <b/>
      <sz val="11"/>
      <color theme="1"/>
      <name val="Calibri"/>
      <family val="2"/>
      <scheme val="minor"/>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11"/>
      <name val="Arial"/>
      <family val="2"/>
    </font>
    <font>
      <b/>
      <sz val="11"/>
      <name val="Calibri"/>
      <family val="2"/>
      <scheme val="minor"/>
    </font>
    <font>
      <sz val="11"/>
      <color theme="1"/>
      <name val="Calibri"/>
      <family val="2"/>
      <scheme val="minor"/>
    </font>
    <font>
      <sz val="36"/>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rgb="FFFF0000"/>
        <bgColor indexed="64"/>
      </patternFill>
    </fill>
    <fill>
      <patternFill patternType="solid">
        <fgColor theme="9"/>
        <bgColor indexed="64"/>
      </patternFill>
    </fill>
    <fill>
      <patternFill patternType="solid">
        <fgColor theme="4" tint="-0.499984740745262"/>
        <bgColor indexed="64"/>
      </patternFill>
    </fill>
    <fill>
      <patternFill patternType="solid">
        <fgColor theme="6"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14" fillId="0" borderId="0" applyFont="0" applyFill="0" applyBorder="0" applyAlignment="0" applyProtection="0"/>
  </cellStyleXfs>
  <cellXfs count="84">
    <xf numFmtId="0" fontId="0" fillId="0" borderId="0" xfId="0"/>
    <xf numFmtId="0" fontId="0" fillId="0" borderId="0" xfId="0" applyAlignment="1">
      <alignment horizontal="right" vertical="center"/>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2" fontId="0" fillId="3" borderId="1" xfId="0" applyNumberFormat="1" applyFill="1" applyBorder="1" applyAlignment="1">
      <alignment horizontal="center" vertical="center"/>
    </xf>
    <xf numFmtId="14" fontId="0" fillId="3" borderId="1" xfId="0" applyNumberFormat="1" applyFill="1" applyBorder="1" applyAlignment="1">
      <alignment horizontal="center" vertical="center"/>
    </xf>
    <xf numFmtId="0" fontId="0" fillId="5" borderId="1" xfId="0" applyFill="1" applyBorder="1" applyAlignment="1">
      <alignment horizontal="center" vertical="center"/>
    </xf>
    <xf numFmtId="2" fontId="0" fillId="5" borderId="1" xfId="0" applyNumberFormat="1" applyFill="1" applyBorder="1" applyAlignment="1">
      <alignment horizontal="center" vertical="center"/>
    </xf>
    <xf numFmtId="14" fontId="0" fillId="5" borderId="1" xfId="0" applyNumberFormat="1" applyFill="1" applyBorder="1"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2" fontId="0" fillId="4"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0" fontId="2" fillId="5"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0" fontId="4" fillId="0" borderId="0" xfId="0" applyFont="1"/>
    <xf numFmtId="0" fontId="1"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9" fillId="0" borderId="0" xfId="0" applyFont="1" applyAlignment="1">
      <alignment horizontal="right" indent="2"/>
    </xf>
    <xf numFmtId="0" fontId="0" fillId="5" borderId="0" xfId="0" applyFill="1" applyAlignment="1">
      <alignment horizontal="center" vertical="center"/>
    </xf>
    <xf numFmtId="0" fontId="0" fillId="0" borderId="0" xfId="0" applyAlignment="1">
      <alignment horizontal="center" vertical="center"/>
    </xf>
    <xf numFmtId="0" fontId="1" fillId="2" borderId="2" xfId="0" applyFont="1" applyFill="1" applyBorder="1" applyAlignment="1">
      <alignment horizontal="center" vertical="center"/>
    </xf>
    <xf numFmtId="0" fontId="0" fillId="3" borderId="2" xfId="0" applyFill="1" applyBorder="1" applyAlignment="1">
      <alignment horizontal="center" vertical="center"/>
    </xf>
    <xf numFmtId="0" fontId="0" fillId="4" borderId="2" xfId="0" applyFill="1" applyBorder="1" applyAlignment="1">
      <alignment horizontal="center" vertical="center"/>
    </xf>
    <xf numFmtId="0" fontId="0" fillId="5" borderId="2" xfId="0" applyFill="1" applyBorder="1" applyAlignment="1">
      <alignment horizontal="center" vertical="center"/>
    </xf>
    <xf numFmtId="0" fontId="2" fillId="5" borderId="2" xfId="0" applyFont="1" applyFill="1" applyBorder="1" applyAlignment="1">
      <alignment horizontal="center" vertical="center"/>
    </xf>
    <xf numFmtId="0" fontId="0" fillId="0" borderId="0" xfId="0" applyAlignment="1">
      <alignment horizontal="center"/>
    </xf>
    <xf numFmtId="0" fontId="0" fillId="5" borderId="3" xfId="0" applyFill="1" applyBorder="1" applyAlignment="1">
      <alignment horizontal="center" vertical="center"/>
    </xf>
    <xf numFmtId="0" fontId="12" fillId="5" borderId="1" xfId="0" applyFont="1" applyFill="1" applyBorder="1" applyAlignment="1">
      <alignment horizontal="center"/>
    </xf>
    <xf numFmtId="1" fontId="0" fillId="5" borderId="1" xfId="0" applyNumberFormat="1" applyFill="1" applyBorder="1" applyAlignment="1">
      <alignment horizontal="center" vertical="center"/>
    </xf>
    <xf numFmtId="0" fontId="3" fillId="5" borderId="0" xfId="0" applyFont="1" applyFill="1" applyAlignment="1">
      <alignment horizontal="center"/>
    </xf>
    <xf numFmtId="2" fontId="0" fillId="5" borderId="3" xfId="0" applyNumberFormat="1" applyFill="1" applyBorder="1" applyAlignment="1">
      <alignment horizontal="center" vertical="center"/>
    </xf>
    <xf numFmtId="2" fontId="0" fillId="0" borderId="0" xfId="0" applyNumberFormat="1" applyAlignment="1">
      <alignment horizontal="center" vertical="center"/>
    </xf>
    <xf numFmtId="14" fontId="0" fillId="5" borderId="3" xfId="0" applyNumberFormat="1" applyFill="1" applyBorder="1" applyAlignment="1">
      <alignment horizontal="center" vertical="center"/>
    </xf>
    <xf numFmtId="14" fontId="1" fillId="2" borderId="1" xfId="0" applyNumberFormat="1" applyFont="1" applyFill="1" applyBorder="1" applyAlignment="1">
      <alignment horizontal="center" vertical="center"/>
    </xf>
    <xf numFmtId="14" fontId="0" fillId="0" borderId="0" xfId="0" applyNumberFormat="1" applyAlignment="1">
      <alignment horizontal="center" vertic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0" fillId="0" borderId="0" xfId="0" applyFont="1" applyAlignment="1">
      <alignment horizontal="center" vertical="center"/>
    </xf>
    <xf numFmtId="0" fontId="13" fillId="2" borderId="1" xfId="0" applyFont="1" applyFill="1" applyBorder="1" applyAlignment="1">
      <alignment horizontal="center" vertical="center"/>
    </xf>
    <xf numFmtId="0" fontId="2" fillId="5" borderId="1" xfId="0" applyFont="1" applyFill="1" applyBorder="1" applyAlignment="1">
      <alignment horizontal="center"/>
    </xf>
    <xf numFmtId="0" fontId="2" fillId="5" borderId="1" xfId="0" applyFont="1" applyFill="1" applyBorder="1" applyAlignment="1">
      <alignment horizontal="center" wrapText="1"/>
    </xf>
    <xf numFmtId="0" fontId="2" fillId="3" borderId="1" xfId="0" applyFont="1" applyFill="1" applyBorder="1" applyAlignment="1">
      <alignment horizontal="center" wrapText="1"/>
    </xf>
    <xf numFmtId="1" fontId="1" fillId="2" borderId="1" xfId="1" applyNumberFormat="1" applyFont="1" applyFill="1" applyBorder="1" applyAlignment="1">
      <alignment horizontal="center" vertical="center"/>
    </xf>
    <xf numFmtId="1" fontId="0" fillId="5" borderId="3" xfId="1" applyNumberFormat="1" applyFont="1" applyFill="1" applyBorder="1" applyAlignment="1">
      <alignment horizontal="center" vertical="center"/>
    </xf>
    <xf numFmtId="1" fontId="0" fillId="0" borderId="0" xfId="1" applyNumberFormat="1" applyFont="1" applyAlignment="1">
      <alignment horizontal="center" vertical="center"/>
    </xf>
    <xf numFmtId="0" fontId="0" fillId="6" borderId="0" xfId="0" applyFill="1"/>
    <xf numFmtId="0" fontId="15" fillId="6" borderId="0" xfId="0" applyFont="1" applyFill="1"/>
    <xf numFmtId="0" fontId="0" fillId="0" borderId="0" xfId="0" applyNumberFormat="1"/>
    <xf numFmtId="164" fontId="0" fillId="0" borderId="0" xfId="0" applyNumberFormat="1"/>
    <xf numFmtId="165" fontId="0" fillId="0" borderId="0" xfId="0" applyNumberFormat="1"/>
    <xf numFmtId="0" fontId="0" fillId="5" borderId="0" xfId="0" applyFill="1" applyBorder="1" applyAlignment="1">
      <alignment horizontal="center" vertical="center"/>
    </xf>
    <xf numFmtId="0" fontId="0" fillId="0" borderId="0" xfId="0" pivotButton="1"/>
    <xf numFmtId="0" fontId="0" fillId="0" borderId="0" xfId="0" applyAlignment="1">
      <alignment horizontal="left"/>
    </xf>
    <xf numFmtId="3" fontId="0" fillId="0" borderId="0" xfId="0" applyNumberFormat="1"/>
    <xf numFmtId="0" fontId="0" fillId="0" borderId="0" xfId="0" pivotButton="1" applyAlignment="1">
      <alignment horizontal="center"/>
    </xf>
    <xf numFmtId="1" fontId="0" fillId="5" borderId="3" xfId="0" applyNumberFormat="1" applyFill="1" applyBorder="1" applyAlignment="1">
      <alignment horizontal="center" vertical="center"/>
    </xf>
    <xf numFmtId="10" fontId="0" fillId="0" borderId="0" xfId="0" applyNumberFormat="1"/>
    <xf numFmtId="164" fontId="0" fillId="0" borderId="0" xfId="1" applyNumberFormat="1" applyFont="1"/>
    <xf numFmtId="165" fontId="0" fillId="0" borderId="0" xfId="1" applyNumberFormat="1" applyFont="1"/>
    <xf numFmtId="0" fontId="0" fillId="7" borderId="0" xfId="0" applyFill="1" applyAlignment="1">
      <alignment horizontal="right"/>
    </xf>
    <xf numFmtId="0" fontId="0" fillId="7" borderId="0" xfId="0" applyFill="1"/>
    <xf numFmtId="0" fontId="0" fillId="0" borderId="4" xfId="0" applyBorder="1"/>
    <xf numFmtId="0" fontId="0" fillId="0" borderId="5" xfId="0" applyBorder="1"/>
    <xf numFmtId="0" fontId="0" fillId="0" borderId="6" xfId="0" applyBorder="1"/>
    <xf numFmtId="9" fontId="0" fillId="0" borderId="7" xfId="0" applyNumberFormat="1" applyBorder="1"/>
    <xf numFmtId="9" fontId="0" fillId="0" borderId="8" xfId="0" applyNumberFormat="1" applyBorder="1"/>
    <xf numFmtId="9" fontId="0" fillId="0" borderId="9" xfId="0" applyNumberFormat="1" applyBorder="1"/>
    <xf numFmtId="9" fontId="0" fillId="0" borderId="10" xfId="0" applyNumberFormat="1" applyBorder="1"/>
    <xf numFmtId="9" fontId="0" fillId="0" borderId="11" xfId="0" applyNumberFormat="1" applyBorder="1"/>
    <xf numFmtId="9" fontId="0" fillId="0" borderId="12" xfId="0" applyNumberFormat="1" applyBorder="1"/>
  </cellXfs>
  <cellStyles count="2">
    <cellStyle name="Comma" xfId="1" builtinId="3"/>
    <cellStyle name="Normal" xfId="0" builtinId="0"/>
  </cellStyles>
  <dxfs count="1562">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35" formatCode="_(* #,##0.00_);_(* \(#,##0.00\);_(* &quot;-&quot;??_);_(@_)"/>
    </dxf>
    <dxf>
      <numFmt numFmtId="167" formatCode="_(* #,##0.0_);_(* \(#,##0.0\);_(* &quot;-&quot;??_);_(@_)"/>
    </dxf>
    <dxf>
      <numFmt numFmtId="164" formatCode="_(* #,##0_);_(* \(#,##0\);_(* &quot;-&quot;??_);_(@_)"/>
    </dxf>
    <dxf>
      <numFmt numFmtId="176" formatCode="0.0%"/>
    </dxf>
    <dxf>
      <numFmt numFmtId="13" formatCode="0%"/>
    </dxf>
    <dxf>
      <numFmt numFmtId="13" formatCode="0%"/>
    </dxf>
    <dxf>
      <numFmt numFmtId="35" formatCode="_(* #,##0.00_);_(* \(#,##0.00\);_(* &quot;-&quot;??_);_(@_)"/>
    </dxf>
    <dxf>
      <numFmt numFmtId="167" formatCode="_(* #,##0.0_);_(* \(#,##0.0\);_(* &quot;-&quot;??_);_(@_)"/>
    </dxf>
    <dxf>
      <numFmt numFmtId="164" formatCode="_(* #,##0_);_(* \(#,##0\);_(* &quot;-&quot;??_);_(@_)"/>
    </dxf>
    <dxf>
      <numFmt numFmtId="14" formatCode="0.0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13" formatCode="0%"/>
    </dxf>
    <dxf>
      <numFmt numFmtId="35" formatCode="_(* #,##0.00_);_(* \(#,##0.00\);_(* &quot;-&quot;??_);_(@_)"/>
    </dxf>
    <dxf>
      <numFmt numFmtId="35" formatCode="_(* #,##0.00_);_(* \(#,##0.00\);_(* &quot;-&quot;??_);_(@_)"/>
    </dxf>
    <dxf>
      <numFmt numFmtId="167" formatCode="_(* #,##0.0_);_(* \(#,##0.0\);_(* &quot;-&quot;??_);_(@_)"/>
    </dxf>
    <dxf>
      <numFmt numFmtId="164" formatCode="_(* #,##0_);_(* \(#,##0\);_(* &quot;-&quot;??_);_(@_)"/>
    </dxf>
    <dxf>
      <numFmt numFmtId="167" formatCode="_(* #,##0.0_);_(* \(#,##0.0\);_(* &quot;-&quot;??_);_(@_)"/>
    </dxf>
    <dxf>
      <numFmt numFmtId="164" formatCode="_(* #,##0_);_(* \(#,##0\);_(* &quot;-&quot;??_);_(@_)"/>
    </dxf>
    <dxf>
      <numFmt numFmtId="35" formatCode="_(* #,##0.00_);_(* \(#,##0.00\);_(* &quot;-&quot;??_);_(@_)"/>
    </dxf>
    <dxf>
      <numFmt numFmtId="167" formatCode="_(* #,##0.0_);_(* \(#,##0.0\);_(* &quot;-&quot;??_);_(@_)"/>
    </dxf>
    <dxf>
      <numFmt numFmtId="164" formatCode="_(* #,##0_);_(* \(#,##0\);_(* &quot;-&quot;??_);_(@_)"/>
    </dxf>
    <dxf>
      <numFmt numFmtId="13" formatCode="0%"/>
    </dxf>
    <dxf>
      <numFmt numFmtId="35" formatCode="_(* #,##0.00_);_(* \(#,##0.00\);_(* &quot;-&quot;??_);_(@_)"/>
    </dxf>
    <dxf>
      <numFmt numFmtId="35" formatCode="_(* #,##0.00_);_(* \(#,##0.00\);_(* &quot;-&quot;??_);_(@_)"/>
    </dxf>
    <dxf>
      <numFmt numFmtId="167" formatCode="_(* #,##0.0_);_(* \(#,##0.0\);_(* &quot;-&quot;??_);_(@_)"/>
    </dxf>
    <dxf>
      <numFmt numFmtId="164" formatCode="_(* #,##0_);_(* \(#,##0\);_(* &quot;-&quot;??_);_(@_)"/>
    </dxf>
    <dxf>
      <numFmt numFmtId="14" formatCode="0.0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alignment horizontal="right" readingOrder="0"/>
    </dxf>
    <dxf>
      <alignment horizontal="center" readingOrder="0"/>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numFmt numFmtId="177" formatCode="#,##0.000"/>
    </dxf>
    <dxf>
      <numFmt numFmtId="4" formatCode="#,##0.0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35" formatCode="_(* #,##0.00_);_(* \(#,##0.00\);_(* &quot;-&quot;??_);_(@_)"/>
    </dxf>
    <dxf>
      <numFmt numFmtId="167" formatCode="_(* #,##0.0_);_(* \(#,##0.0\);_(* &quot;-&quot;??_);_(@_)"/>
    </dxf>
    <dxf>
      <numFmt numFmtId="164" formatCode="_(* #,##0_);_(* \(#,##0\);_(* &quot;-&quot;??_);_(@_)"/>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13" formatCode="0%"/>
    </dxf>
    <dxf>
      <numFmt numFmtId="35" formatCode="_(* #,##0.00_);_(* \(#,##0.00\);_(* &quot;-&quot;??_);_(@_)"/>
    </dxf>
    <dxf>
      <numFmt numFmtId="35" formatCode="_(* #,##0.00_);_(* \(#,##0.00\);_(* &quot;-&quot;??_);_(@_)"/>
    </dxf>
    <dxf>
      <numFmt numFmtId="167" formatCode="_(* #,##0.0_);_(* \(#,##0.0\);_(* &quot;-&quot;??_);_(@_)"/>
    </dxf>
    <dxf>
      <numFmt numFmtId="164" formatCode="_(* #,##0_);_(* \(#,##0\);_(* &quot;-&quot;??_);_(@_)"/>
    </dxf>
    <dxf>
      <numFmt numFmtId="167" formatCode="_(* #,##0.0_);_(* \(#,##0.0\);_(* &quot;-&quot;??_);_(@_)"/>
    </dxf>
    <dxf>
      <numFmt numFmtId="164" formatCode="_(* #,##0_);_(* \(#,##0\);_(* &quot;-&quot;??_);_(@_)"/>
    </dxf>
    <dxf>
      <numFmt numFmtId="35" formatCode="_(* #,##0.00_);_(* \(#,##0.00\);_(* &quot;-&quot;??_);_(@_)"/>
    </dxf>
    <dxf>
      <numFmt numFmtId="167" formatCode="_(* #,##0.0_);_(* \(#,##0.0\);_(* &quot;-&quot;??_);_(@_)"/>
    </dxf>
    <dxf>
      <numFmt numFmtId="164" formatCode="_(* #,##0_);_(* \(#,##0\);_(* &quot;-&quot;??_);_(@_)"/>
    </dxf>
    <dxf>
      <numFmt numFmtId="13" formatCode="0%"/>
    </dxf>
    <dxf>
      <numFmt numFmtId="35" formatCode="_(* #,##0.00_);_(* \(#,##0.00\);_(* &quot;-&quot;??_);_(@_)"/>
    </dxf>
    <dxf>
      <numFmt numFmtId="35" formatCode="_(* #,##0.00_);_(* \(#,##0.00\);_(* &quot;-&quot;??_);_(@_)"/>
    </dxf>
    <dxf>
      <numFmt numFmtId="167" formatCode="_(* #,##0.0_);_(* \(#,##0.0\);_(* &quot;-&quot;??_);_(@_)"/>
    </dxf>
    <dxf>
      <numFmt numFmtId="164" formatCode="_(* #,##0_);_(* \(#,##0\);_(* &quot;-&quot;??_);_(@_)"/>
    </dxf>
    <dxf>
      <numFmt numFmtId="14" formatCode="0.0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alignment horizontal="right" readingOrder="0"/>
    </dxf>
    <dxf>
      <alignment horizontal="center" readingOrder="0"/>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numFmt numFmtId="177" formatCode="#,##0.000"/>
    </dxf>
    <dxf>
      <numFmt numFmtId="4" formatCode="#,##0.0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35" formatCode="_(* #,##0.00_);_(* \(#,##0.00\);_(* &quot;-&quot;??_);_(@_)"/>
    </dxf>
    <dxf>
      <numFmt numFmtId="167" formatCode="_(* #,##0.0_);_(* \(#,##0.0\);_(* &quot;-&quot;??_);_(@_)"/>
    </dxf>
    <dxf>
      <numFmt numFmtId="164" formatCode="_(* #,##0_);_(* \(#,##0\);_(* &quot;-&quot;??_);_(@_)"/>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35" formatCode="_(* #,##0.00_);_(* \(#,##0.00\);_(* &quot;-&quot;??_);_(@_)"/>
    </dxf>
    <dxf>
      <numFmt numFmtId="167" formatCode="_(* #,##0.0_);_(* \(#,##0.0\);_(* &quot;-&quot;??_);_(@_)"/>
    </dxf>
    <dxf>
      <numFmt numFmtId="164" formatCode="_(* #,##0_);_(* \(#,##0\);_(* &quot;-&quot;??_);_(@_)"/>
    </dxf>
    <dxf>
      <numFmt numFmtId="176" formatCode="0.0%"/>
    </dxf>
    <dxf>
      <numFmt numFmtId="13" formatCode="0%"/>
    </dxf>
    <dxf>
      <numFmt numFmtId="13" formatCode="0%"/>
    </dxf>
    <dxf>
      <numFmt numFmtId="35" formatCode="_(* #,##0.00_);_(* \(#,##0.00\);_(* &quot;-&quot;??_);_(@_)"/>
    </dxf>
    <dxf>
      <numFmt numFmtId="167" formatCode="_(* #,##0.0_);_(* \(#,##0.0\);_(* &quot;-&quot;??_);_(@_)"/>
    </dxf>
    <dxf>
      <numFmt numFmtId="164" formatCode="_(* #,##0_);_(* \(#,##0\);_(* &quot;-&quot;??_);_(@_)"/>
    </dxf>
    <dxf>
      <numFmt numFmtId="14" formatCode="0.0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13" formatCode="0%"/>
    </dxf>
    <dxf>
      <numFmt numFmtId="35" formatCode="_(* #,##0.00_);_(* \(#,##0.00\);_(* &quot;-&quot;??_);_(@_)"/>
    </dxf>
    <dxf>
      <numFmt numFmtId="35" formatCode="_(* #,##0.00_);_(* \(#,##0.00\);_(* &quot;-&quot;??_);_(@_)"/>
    </dxf>
    <dxf>
      <numFmt numFmtId="167" formatCode="_(* #,##0.0_);_(* \(#,##0.0\);_(* &quot;-&quot;??_);_(@_)"/>
    </dxf>
    <dxf>
      <numFmt numFmtId="164" formatCode="_(* #,##0_);_(* \(#,##0\);_(* &quot;-&quot;??_);_(@_)"/>
    </dxf>
    <dxf>
      <numFmt numFmtId="167" formatCode="_(* #,##0.0_);_(* \(#,##0.0\);_(* &quot;-&quot;??_);_(@_)"/>
    </dxf>
    <dxf>
      <numFmt numFmtId="164" formatCode="_(* #,##0_);_(* \(#,##0\);_(* &quot;-&quot;??_);_(@_)"/>
    </dxf>
    <dxf>
      <numFmt numFmtId="35" formatCode="_(* #,##0.00_);_(* \(#,##0.00\);_(* &quot;-&quot;??_);_(@_)"/>
    </dxf>
    <dxf>
      <numFmt numFmtId="167" formatCode="_(* #,##0.0_);_(* \(#,##0.0\);_(* &quot;-&quot;??_);_(@_)"/>
    </dxf>
    <dxf>
      <numFmt numFmtId="164" formatCode="_(* #,##0_);_(* \(#,##0\);_(* &quot;-&quot;??_);_(@_)"/>
    </dxf>
    <dxf>
      <numFmt numFmtId="13" formatCode="0%"/>
    </dxf>
    <dxf>
      <numFmt numFmtId="35" formatCode="_(* #,##0.00_);_(* \(#,##0.00\);_(* &quot;-&quot;??_);_(@_)"/>
    </dxf>
    <dxf>
      <numFmt numFmtId="35" formatCode="_(* #,##0.00_);_(* \(#,##0.00\);_(* &quot;-&quot;??_);_(@_)"/>
    </dxf>
    <dxf>
      <numFmt numFmtId="167" formatCode="_(* #,##0.0_);_(* \(#,##0.0\);_(* &quot;-&quot;??_);_(@_)"/>
    </dxf>
    <dxf>
      <numFmt numFmtId="164" formatCode="_(* #,##0_);_(* \(#,##0\);_(* &quot;-&quot;??_);_(@_)"/>
    </dxf>
    <dxf>
      <numFmt numFmtId="14" formatCode="0.0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alignment horizontal="right" readingOrder="0"/>
    </dxf>
    <dxf>
      <alignment horizontal="center" readingOrder="0"/>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numFmt numFmtId="177" formatCode="#,##0.000"/>
    </dxf>
    <dxf>
      <numFmt numFmtId="4" formatCode="#,##0.0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35" formatCode="_(* #,##0.00_);_(* \(#,##0.00\);_(* &quot;-&quot;??_);_(@_)"/>
    </dxf>
    <dxf>
      <numFmt numFmtId="167" formatCode="_(* #,##0.0_);_(* \(#,##0.0\);_(* &quot;-&quot;??_);_(@_)"/>
    </dxf>
    <dxf>
      <numFmt numFmtId="164" formatCode="_(* #,##0_);_(* \(#,##0\);_(* &quot;-&quot;??_);_(@_)"/>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35" formatCode="_(* #,##0.00_);_(* \(#,##0.00\);_(* &quot;-&quot;??_);_(@_)"/>
    </dxf>
    <dxf>
      <numFmt numFmtId="167" formatCode="_(* #,##0.0_);_(* \(#,##0.0\);_(* &quot;-&quot;??_);_(@_)"/>
    </dxf>
    <dxf>
      <numFmt numFmtId="164" formatCode="_(* #,##0_);_(* \(#,##0\);_(* &quot;-&quot;??_);_(@_)"/>
    </dxf>
    <dxf>
      <numFmt numFmtId="176" formatCode="0.0%"/>
    </dxf>
    <dxf>
      <numFmt numFmtId="13" formatCode="0%"/>
    </dxf>
    <dxf>
      <numFmt numFmtId="13" formatCode="0%"/>
    </dxf>
    <dxf>
      <numFmt numFmtId="35" formatCode="_(* #,##0.00_);_(* \(#,##0.00\);_(* &quot;-&quot;??_);_(@_)"/>
    </dxf>
    <dxf>
      <numFmt numFmtId="167" formatCode="_(* #,##0.0_);_(* \(#,##0.0\);_(* &quot;-&quot;??_);_(@_)"/>
    </dxf>
    <dxf>
      <numFmt numFmtId="164" formatCode="_(* #,##0_);_(* \(#,##0\);_(* &quot;-&quot;??_);_(@_)"/>
    </dxf>
    <dxf>
      <numFmt numFmtId="14" formatCode="0.0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13" formatCode="0%"/>
    </dxf>
    <dxf>
      <numFmt numFmtId="35" formatCode="_(* #,##0.00_);_(* \(#,##0.00\);_(* &quot;-&quot;??_);_(@_)"/>
    </dxf>
    <dxf>
      <numFmt numFmtId="35" formatCode="_(* #,##0.00_);_(* \(#,##0.00\);_(* &quot;-&quot;??_);_(@_)"/>
    </dxf>
    <dxf>
      <numFmt numFmtId="167" formatCode="_(* #,##0.0_);_(* \(#,##0.0\);_(* &quot;-&quot;??_);_(@_)"/>
    </dxf>
    <dxf>
      <numFmt numFmtId="164" formatCode="_(* #,##0_);_(* \(#,##0\);_(* &quot;-&quot;??_);_(@_)"/>
    </dxf>
    <dxf>
      <numFmt numFmtId="167" formatCode="_(* #,##0.0_);_(* \(#,##0.0\);_(* &quot;-&quot;??_);_(@_)"/>
    </dxf>
    <dxf>
      <numFmt numFmtId="164" formatCode="_(* #,##0_);_(* \(#,##0\);_(* &quot;-&quot;??_);_(@_)"/>
    </dxf>
    <dxf>
      <numFmt numFmtId="35" formatCode="_(* #,##0.00_);_(* \(#,##0.00\);_(* &quot;-&quot;??_);_(@_)"/>
    </dxf>
    <dxf>
      <numFmt numFmtId="167" formatCode="_(* #,##0.0_);_(* \(#,##0.0\);_(* &quot;-&quot;??_);_(@_)"/>
    </dxf>
    <dxf>
      <numFmt numFmtId="164" formatCode="_(* #,##0_);_(* \(#,##0\);_(* &quot;-&quot;??_);_(@_)"/>
    </dxf>
    <dxf>
      <numFmt numFmtId="13" formatCode="0%"/>
    </dxf>
    <dxf>
      <numFmt numFmtId="35" formatCode="_(* #,##0.00_);_(* \(#,##0.00\);_(* &quot;-&quot;??_);_(@_)"/>
    </dxf>
    <dxf>
      <numFmt numFmtId="35" formatCode="_(* #,##0.00_);_(* \(#,##0.00\);_(* &quot;-&quot;??_);_(@_)"/>
    </dxf>
    <dxf>
      <numFmt numFmtId="167" formatCode="_(* #,##0.0_);_(* \(#,##0.0\);_(* &quot;-&quot;??_);_(@_)"/>
    </dxf>
    <dxf>
      <numFmt numFmtId="164" formatCode="_(* #,##0_);_(* \(#,##0\);_(* &quot;-&quot;??_);_(@_)"/>
    </dxf>
    <dxf>
      <numFmt numFmtId="14" formatCode="0.0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alignment horizontal="right" readingOrder="0"/>
    </dxf>
    <dxf>
      <alignment horizontal="center" readingOrder="0"/>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numFmt numFmtId="177" formatCode="#,##0.000"/>
    </dxf>
    <dxf>
      <numFmt numFmtId="4" formatCode="#,##0.0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35" formatCode="_(* #,##0.00_);_(* \(#,##0.00\);_(* &quot;-&quot;??_);_(@_)"/>
    </dxf>
    <dxf>
      <numFmt numFmtId="167" formatCode="_(* #,##0.0_);_(* \(#,##0.0\);_(* &quot;-&quot;??_);_(@_)"/>
    </dxf>
    <dxf>
      <numFmt numFmtId="164" formatCode="_(* #,##0_);_(* \(#,##0\);_(* &quot;-&quot;??_);_(@_)"/>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35" formatCode="_(* #,##0.00_);_(* \(#,##0.00\);_(* &quot;-&quot;??_);_(@_)"/>
    </dxf>
    <dxf>
      <numFmt numFmtId="167" formatCode="_(* #,##0.0_);_(* \(#,##0.0\);_(* &quot;-&quot;??_);_(@_)"/>
    </dxf>
    <dxf>
      <numFmt numFmtId="164" formatCode="_(* #,##0_);_(* \(#,##0\);_(* &quot;-&quot;??_);_(@_)"/>
    </dxf>
    <dxf>
      <numFmt numFmtId="176" formatCode="0.0%"/>
    </dxf>
    <dxf>
      <numFmt numFmtId="13" formatCode="0%"/>
    </dxf>
    <dxf>
      <numFmt numFmtId="13" formatCode="0%"/>
    </dxf>
    <dxf>
      <numFmt numFmtId="35" formatCode="_(* #,##0.00_);_(* \(#,##0.00\);_(* &quot;-&quot;??_);_(@_)"/>
    </dxf>
    <dxf>
      <numFmt numFmtId="167" formatCode="_(* #,##0.0_);_(* \(#,##0.0\);_(* &quot;-&quot;??_);_(@_)"/>
    </dxf>
    <dxf>
      <numFmt numFmtId="164" formatCode="_(* #,##0_);_(* \(#,##0\);_(* &quot;-&quot;??_);_(@_)"/>
    </dxf>
    <dxf>
      <numFmt numFmtId="14" formatCode="0.0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35" formatCode="_(* #,##0.00_);_(* \(#,##0.00\);_(* &quot;-&quot;??_);_(@_)"/>
    </dxf>
    <dxf>
      <numFmt numFmtId="167" formatCode="_(* #,##0.0_);_(* \(#,##0.0\);_(* &quot;-&quot;??_);_(@_)"/>
    </dxf>
    <dxf>
      <numFmt numFmtId="164" formatCode="_(* #,##0_);_(* \(#,##0\);_(* &quot;-&quot;??_);_(@_)"/>
    </dxf>
    <dxf>
      <numFmt numFmtId="176" formatCode="0.0%"/>
    </dxf>
    <dxf>
      <numFmt numFmtId="13" formatCode="0%"/>
    </dxf>
    <dxf>
      <numFmt numFmtId="13" formatCode="0%"/>
    </dxf>
    <dxf>
      <numFmt numFmtId="35" formatCode="_(* #,##0.00_);_(* \(#,##0.00\);_(* &quot;-&quot;??_);_(@_)"/>
    </dxf>
    <dxf>
      <numFmt numFmtId="167" formatCode="_(* #,##0.0_);_(* \(#,##0.0\);_(* &quot;-&quot;??_);_(@_)"/>
    </dxf>
    <dxf>
      <numFmt numFmtId="164" formatCode="_(* #,##0_);_(* \(#,##0\);_(* &quot;-&quot;??_);_(@_)"/>
    </dxf>
    <dxf>
      <numFmt numFmtId="14" formatCode="0.0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13" formatCode="0%"/>
    </dxf>
    <dxf>
      <numFmt numFmtId="35" formatCode="_(* #,##0.00_);_(* \(#,##0.00\);_(* &quot;-&quot;??_);_(@_)"/>
    </dxf>
    <dxf>
      <numFmt numFmtId="35" formatCode="_(* #,##0.00_);_(* \(#,##0.00\);_(* &quot;-&quot;??_);_(@_)"/>
    </dxf>
    <dxf>
      <numFmt numFmtId="167" formatCode="_(* #,##0.0_);_(* \(#,##0.0\);_(* &quot;-&quot;??_);_(@_)"/>
    </dxf>
    <dxf>
      <numFmt numFmtId="164" formatCode="_(* #,##0_);_(* \(#,##0\);_(* &quot;-&quot;??_);_(@_)"/>
    </dxf>
    <dxf>
      <numFmt numFmtId="167" formatCode="_(* #,##0.0_);_(* \(#,##0.0\);_(* &quot;-&quot;??_);_(@_)"/>
    </dxf>
    <dxf>
      <numFmt numFmtId="164" formatCode="_(* #,##0_);_(* \(#,##0\);_(* &quot;-&quot;??_);_(@_)"/>
    </dxf>
    <dxf>
      <numFmt numFmtId="35" formatCode="_(* #,##0.00_);_(* \(#,##0.00\);_(* &quot;-&quot;??_);_(@_)"/>
    </dxf>
    <dxf>
      <numFmt numFmtId="167" formatCode="_(* #,##0.0_);_(* \(#,##0.0\);_(* &quot;-&quot;??_);_(@_)"/>
    </dxf>
    <dxf>
      <numFmt numFmtId="164" formatCode="_(* #,##0_);_(* \(#,##0\);_(* &quot;-&quot;??_);_(@_)"/>
    </dxf>
    <dxf>
      <numFmt numFmtId="13" formatCode="0%"/>
    </dxf>
    <dxf>
      <numFmt numFmtId="35" formatCode="_(* #,##0.00_);_(* \(#,##0.00\);_(* &quot;-&quot;??_);_(@_)"/>
    </dxf>
    <dxf>
      <numFmt numFmtId="35" formatCode="_(* #,##0.00_);_(* \(#,##0.00\);_(* &quot;-&quot;??_);_(@_)"/>
    </dxf>
    <dxf>
      <numFmt numFmtId="167" formatCode="_(* #,##0.0_);_(* \(#,##0.0\);_(* &quot;-&quot;??_);_(@_)"/>
    </dxf>
    <dxf>
      <numFmt numFmtId="164" formatCode="_(* #,##0_);_(* \(#,##0\);_(* &quot;-&quot;??_);_(@_)"/>
    </dxf>
    <dxf>
      <numFmt numFmtId="14" formatCode="0.0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alignment horizontal="right" readingOrder="0"/>
    </dxf>
    <dxf>
      <alignment horizontal="center" readingOrder="0"/>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numFmt numFmtId="177" formatCode="#,##0.000"/>
    </dxf>
    <dxf>
      <numFmt numFmtId="4" formatCode="#,##0.0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35" formatCode="_(* #,##0.00_);_(* \(#,##0.00\);_(* &quot;-&quot;??_);_(@_)"/>
    </dxf>
    <dxf>
      <numFmt numFmtId="167" formatCode="_(* #,##0.0_);_(* \(#,##0.0\);_(* &quot;-&quot;??_);_(@_)"/>
    </dxf>
    <dxf>
      <numFmt numFmtId="164" formatCode="_(* #,##0_);_(* \(#,##0\);_(* &quot;-&quot;??_);_(@_)"/>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35" formatCode="_(* #,##0.00_);_(* \(#,##0.00\);_(* &quot;-&quot;??_);_(@_)"/>
    </dxf>
    <dxf>
      <numFmt numFmtId="167" formatCode="_(* #,##0.0_);_(* \(#,##0.0\);_(* &quot;-&quot;??_);_(@_)"/>
    </dxf>
    <dxf>
      <numFmt numFmtId="164" formatCode="_(* #,##0_);_(* \(#,##0\);_(* &quot;-&quot;??_);_(@_)"/>
    </dxf>
    <dxf>
      <numFmt numFmtId="176" formatCode="0.0%"/>
    </dxf>
    <dxf>
      <numFmt numFmtId="13" formatCode="0%"/>
    </dxf>
    <dxf>
      <numFmt numFmtId="13" formatCode="0%"/>
    </dxf>
    <dxf>
      <numFmt numFmtId="35" formatCode="_(* #,##0.00_);_(* \(#,##0.00\);_(* &quot;-&quot;??_);_(@_)"/>
    </dxf>
    <dxf>
      <numFmt numFmtId="167" formatCode="_(* #,##0.0_);_(* \(#,##0.0\);_(* &quot;-&quot;??_);_(@_)"/>
    </dxf>
    <dxf>
      <numFmt numFmtId="164" formatCode="_(* #,##0_);_(* \(#,##0\);_(* &quot;-&quot;??_);_(@_)"/>
    </dxf>
    <dxf>
      <numFmt numFmtId="14" formatCode="0.0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13" formatCode="0%"/>
    </dxf>
    <dxf>
      <numFmt numFmtId="35" formatCode="_(* #,##0.00_);_(* \(#,##0.00\);_(* &quot;-&quot;??_);_(@_)"/>
    </dxf>
    <dxf>
      <numFmt numFmtId="35" formatCode="_(* #,##0.00_);_(* \(#,##0.00\);_(* &quot;-&quot;??_);_(@_)"/>
    </dxf>
    <dxf>
      <numFmt numFmtId="167" formatCode="_(* #,##0.0_);_(* \(#,##0.0\);_(* &quot;-&quot;??_);_(@_)"/>
    </dxf>
    <dxf>
      <numFmt numFmtId="164" formatCode="_(* #,##0_);_(* \(#,##0\);_(* &quot;-&quot;??_);_(@_)"/>
    </dxf>
    <dxf>
      <numFmt numFmtId="167" formatCode="_(* #,##0.0_);_(* \(#,##0.0\);_(* &quot;-&quot;??_);_(@_)"/>
    </dxf>
    <dxf>
      <numFmt numFmtId="164" formatCode="_(* #,##0_);_(* \(#,##0\);_(* &quot;-&quot;??_);_(@_)"/>
    </dxf>
    <dxf>
      <numFmt numFmtId="35" formatCode="_(* #,##0.00_);_(* \(#,##0.00\);_(* &quot;-&quot;??_);_(@_)"/>
    </dxf>
    <dxf>
      <numFmt numFmtId="167" formatCode="_(* #,##0.0_);_(* \(#,##0.0\);_(* &quot;-&quot;??_);_(@_)"/>
    </dxf>
    <dxf>
      <numFmt numFmtId="164" formatCode="_(* #,##0_);_(* \(#,##0\);_(* &quot;-&quot;??_);_(@_)"/>
    </dxf>
    <dxf>
      <numFmt numFmtId="13" formatCode="0%"/>
    </dxf>
    <dxf>
      <numFmt numFmtId="35" formatCode="_(* #,##0.00_);_(* \(#,##0.00\);_(* &quot;-&quot;??_);_(@_)"/>
    </dxf>
    <dxf>
      <numFmt numFmtId="35" formatCode="_(* #,##0.00_);_(* \(#,##0.00\);_(* &quot;-&quot;??_);_(@_)"/>
    </dxf>
    <dxf>
      <numFmt numFmtId="167" formatCode="_(* #,##0.0_);_(* \(#,##0.0\);_(* &quot;-&quot;??_);_(@_)"/>
    </dxf>
    <dxf>
      <numFmt numFmtId="164" formatCode="_(* #,##0_);_(* \(#,##0\);_(* &quot;-&quot;??_);_(@_)"/>
    </dxf>
    <dxf>
      <numFmt numFmtId="14" formatCode="0.00%"/>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alignment horizontal="right" readingOrder="0"/>
    </dxf>
    <dxf>
      <alignment horizontal="center" readingOrder="0"/>
    </dxf>
    <dxf>
      <alignment horizontal="center" readingOrder="0"/>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numFmt numFmtId="177" formatCode="#,##0.000"/>
    </dxf>
    <dxf>
      <numFmt numFmtId="4" formatCode="#,##0.0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35" formatCode="_(* #,##0.00_);_(* \(#,##0.00\);_(* &quot;-&quot;??_);_(@_)"/>
    </dxf>
    <dxf>
      <numFmt numFmtId="167" formatCode="_(* #,##0.0_);_(* \(#,##0.0\);_(* &quot;-&quot;??_);_(@_)"/>
    </dxf>
    <dxf>
      <numFmt numFmtId="164" formatCode="_(* #,##0_);_(* \(#,##0\);_(* &quot;-&quot;??_);_(@_)"/>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numFmt numFmtId="35" formatCode="_(* #,##0.00_);_(* \(#,##0.00\);_(* &quot;-&quot;??_);_(@_)"/>
    </dxf>
    <dxf>
      <numFmt numFmtId="167" formatCode="_(* #,##0.0_);_(* \(#,##0.0\);_(* &quot;-&quot;??_);_(@_)"/>
    </dxf>
    <dxf>
      <numFmt numFmtId="164" formatCode="_(* #,##0_);_(* \(#,##0\);_(* &quot;-&quot;??_);_(@_)"/>
    </dxf>
    <dxf>
      <numFmt numFmtId="166" formatCode="0.0000"/>
    </dxf>
    <dxf>
      <numFmt numFmtId="35" formatCode="_(* #,##0.00_);_(* \(#,##0.00\);_(* &quot;-&quot;??_);_(@_)"/>
    </dxf>
    <dxf>
      <numFmt numFmtId="167" formatCode="_(* #,##0.0_);_(* \(#,##0.0\);_(* &quot;-&quot;??_);_(@_)"/>
    </dxf>
    <dxf>
      <numFmt numFmtId="35" formatCode="_(* #,##0.00_);_(* \(#,##0.00\);_(* &quot;-&quot;??_);_(@_)"/>
    </dxf>
    <dxf>
      <numFmt numFmtId="165" formatCode="_(* #,##0.000_);_(* \(#,##0.000\);_(* &quot;-&quot;??_);_(@_)"/>
    </dxf>
    <dxf>
      <numFmt numFmtId="168" formatCode="_(* #,##0.0000_);_(* \(#,##0.0000\);_(* &quot;-&quot;??_);_(@_)"/>
    </dxf>
    <dxf>
      <numFmt numFmtId="169" formatCode="_(* #,##0.00000_);_(* \(#,##0.00000\);_(* &quot;-&quot;??_);_(@_)"/>
    </dxf>
    <dxf>
      <numFmt numFmtId="170" formatCode="_(* #,##0.000000_);_(* \(#,##0.000000\);_(* &quot;-&quot;??_);_(@_)"/>
    </dxf>
    <dxf>
      <numFmt numFmtId="171" formatCode="_(* #,##0.0000000_);_(* \(#,##0.0000000\);_(* &quot;-&quot;??_);_(@_)"/>
    </dxf>
    <dxf>
      <numFmt numFmtId="172" formatCode="_(* #,##0.00000000_);_(* \(#,##0.00000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35" formatCode="_(* #,##0.00_);_(* \(#,##0.00\);_(* &quot;-&quot;??_);_(@_)"/>
    </dxf>
    <dxf>
      <numFmt numFmtId="165" formatCode="_(* #,##0.000_);_(* \(#,##0.000\);_(* &quot;-&quot;??_);_(@_)"/>
    </dxf>
    <dxf>
      <alignment horizontal="center" readingOrder="0"/>
    </dxf>
    <dxf>
      <numFmt numFmtId="13" formatCode="0%"/>
    </dxf>
    <dxf>
      <numFmt numFmtId="35" formatCode="_(* #,##0.00_);_(* \(#,##0.00\);_(* &quot;-&quot;??_);_(@_)"/>
    </dxf>
    <dxf>
      <numFmt numFmtId="167" formatCode="_(* #,##0.0_);_(* \(#,##0.0\);_(* &quot;-&quot;??_);_(@_)"/>
    </dxf>
    <dxf>
      <numFmt numFmtId="164" formatCode="_(* #,##0_);_(* \(#,##0\);_(* &quot;-&quot;??_);_(@_)"/>
    </dxf>
    <dxf>
      <alignment horizontal="center" readingOrder="0"/>
    </dxf>
    <dxf>
      <numFmt numFmtId="35" formatCode="_(* #,##0.00_);_(* \(#,##0.00\);_(* &quot;-&quot;??_);_(@_)"/>
    </dxf>
    <dxf>
      <numFmt numFmtId="167" formatCode="_(* #,##0.0_);_(* \(#,##0.0\);_(* &quot;-&quot;??_);_(@_)"/>
    </dxf>
    <dxf>
      <numFmt numFmtId="164" formatCode="_(* #,##0_);_(* \(#,##0\);_(* &quot;-&quot;??_);_(@_)"/>
    </dxf>
    <dxf>
      <numFmt numFmtId="14" formatCode="0.00%"/>
    </dxf>
    <dxf>
      <numFmt numFmtId="164" formatCode="_(* #,##0_);_(* \(#,##0\);_(* &quot;-&quot;??_);_(@_)"/>
    </dxf>
    <dxf>
      <numFmt numFmtId="167" formatCode="_(* #,##0.0_);_(* \(#,##0.0\);_(* &quot;-&quot;??_);_(@_)"/>
    </dxf>
    <dxf>
      <numFmt numFmtId="35" formatCode="_(* #,##0.00_);_(* \(#,##0.00\);_(* &quot;-&quot;??_);_(@_)"/>
    </dxf>
    <dxf>
      <numFmt numFmtId="35" formatCode="_(* #,##0.00_);_(* \(#,##0.00\);_(* &quot;-&quot;??_);_(@_)"/>
    </dxf>
    <dxf>
      <numFmt numFmtId="13" formatCode="0%"/>
    </dxf>
    <dxf>
      <numFmt numFmtId="164" formatCode="_(* #,##0_);_(* \(#,##0\);_(* &quot;-&quot;??_);_(@_)"/>
    </dxf>
    <dxf>
      <numFmt numFmtId="167" formatCode="_(* #,##0.0_);_(* \(#,##0.0\);_(* &quot;-&quot;??_);_(@_)"/>
    </dxf>
    <dxf>
      <numFmt numFmtId="35" formatCode="_(* #,##0.00_);_(* \(#,##0.00\);_(* &quot;-&quot;??_);_(@_)"/>
    </dxf>
    <dxf>
      <numFmt numFmtId="164" formatCode="_(* #,##0_);_(* \(#,##0\);_(* &quot;-&quot;??_);_(@_)"/>
    </dxf>
    <dxf>
      <numFmt numFmtId="167" formatCode="_(* #,##0.0_);_(* \(#,##0.0\);_(* &quot;-&quot;??_);_(@_)"/>
    </dxf>
    <dxf>
      <numFmt numFmtId="164" formatCode="_(* #,##0_);_(* \(#,##0\);_(* &quot;-&quot;??_);_(@_)"/>
    </dxf>
    <dxf>
      <numFmt numFmtId="167" formatCode="_(* #,##0.0_);_(* \(#,##0.0\);_(* &quot;-&quot;??_);_(@_)"/>
    </dxf>
    <dxf>
      <numFmt numFmtId="35" formatCode="_(* #,##0.00_);_(* \(#,##0.00\);_(* &quot;-&quot;??_);_(@_)"/>
    </dxf>
    <dxf>
      <numFmt numFmtId="35" formatCode="_(* #,##0.00_);_(* \(#,##0.00\);_(* &quot;-&quot;??_);_(@_)"/>
    </dxf>
    <dxf>
      <numFmt numFmtId="13" formatCode="0%"/>
    </dxf>
    <dxf>
      <numFmt numFmtId="13" formatCode="0%"/>
    </dxf>
    <dxf>
      <alignment horizontal="center" readingOrder="0"/>
    </dxf>
    <dxf>
      <numFmt numFmtId="165" formatCode="_(* #,##0.000_);_(* \(#,##0.000\);_(* &quot;-&quot;??_);_(@_)"/>
    </dxf>
    <dxf>
      <numFmt numFmtId="35" formatCode="_(* #,##0.00_);_(* \(#,##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172" formatCode="_(* #,##0.00000000_);_(* \(#,##0.00000000\);_(* &quot;-&quot;??_);_(@_)"/>
    </dxf>
    <dxf>
      <numFmt numFmtId="171" formatCode="_(* #,##0.0000000_);_(* \(#,##0.0000000\);_(* &quot;-&quot;??_);_(@_)"/>
    </dxf>
    <dxf>
      <numFmt numFmtId="170" formatCode="_(* #,##0.000000_);_(* \(#,##0.000000\);_(* &quot;-&quot;??_);_(@_)"/>
    </dxf>
    <dxf>
      <numFmt numFmtId="169" formatCode="_(* #,##0.00000_);_(* \(#,##0.00000\);_(* &quot;-&quot;??_);_(@_)"/>
    </dxf>
    <dxf>
      <numFmt numFmtId="168" formatCode="_(* #,##0.0000_);_(* \(#,##0.0000\);_(* &quot;-&quot;??_);_(@_)"/>
    </dxf>
    <dxf>
      <numFmt numFmtId="165" formatCode="_(* #,##0.000_);_(* \(#,##0.000\);_(* &quot;-&quot;??_);_(@_)"/>
    </dxf>
    <dxf>
      <numFmt numFmtId="35" formatCode="_(* #,##0.00_);_(* \(#,##0.00\);_(* &quot;-&quot;??_);_(@_)"/>
    </dxf>
    <dxf>
      <numFmt numFmtId="167" formatCode="_(* #,##0.0_);_(* \(#,##0.0\);_(* &quot;-&quot;??_);_(@_)"/>
    </dxf>
    <dxf>
      <numFmt numFmtId="35" formatCode="_(* #,##0.00_);_(* \(#,##0.00\);_(* &quot;-&quot;??_);_(@_)"/>
    </dxf>
    <dxf>
      <numFmt numFmtId="166" formatCode="0.0000"/>
    </dxf>
    <dxf>
      <numFmt numFmtId="164" formatCode="_(* #,##0_);_(* \(#,##0\);_(* &quot;-&quot;??_);_(@_)"/>
    </dxf>
    <dxf>
      <numFmt numFmtId="167" formatCode="_(* #,##0.0_);_(* \(#,##0.0\);_(* &quot;-&quot;??_);_(@_)"/>
    </dxf>
    <dxf>
      <numFmt numFmtId="35" formatCode="_(* #,##0.00_);_(* \(#,##0.00\);_(* &quot;-&quot;??_);_(@_)"/>
    </dxf>
    <dxf>
      <numFmt numFmtId="164" formatCode="_(* #,##0_);_(* \(#,##0\);_(* &quot;-&quot;??_);_(@_)"/>
    </dxf>
    <dxf>
      <numFmt numFmtId="167" formatCode="_(* #,##0.0_);_(* \(#,##0.0\);_(* &quot;-&quot;??_);_(@_)"/>
    </dxf>
    <dxf>
      <numFmt numFmtId="35" formatCode="_(* #,##0.00_);_(* \(#,##0.00\);_(* &quot;-&quot;??_);_(@_)"/>
    </dxf>
    <dxf>
      <alignment horizontal="center" readingOrder="0"/>
    </dxf>
    <dxf>
      <numFmt numFmtId="165" formatCode="_(* #,##0.000_);_(* \(#,##0.000\);_(* &quot;-&quot;??_);_(@_)"/>
    </dxf>
    <dxf>
      <numFmt numFmtId="35" formatCode="_(* #,##0.00_);_(* \(#,##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172" formatCode="_(* #,##0.00000000_);_(* \(#,##0.00000000\);_(* &quot;-&quot;??_);_(@_)"/>
    </dxf>
    <dxf>
      <numFmt numFmtId="171" formatCode="_(* #,##0.0000000_);_(* \(#,##0.0000000\);_(* &quot;-&quot;??_);_(@_)"/>
    </dxf>
    <dxf>
      <numFmt numFmtId="170" formatCode="_(* #,##0.000000_);_(* \(#,##0.000000\);_(* &quot;-&quot;??_);_(@_)"/>
    </dxf>
    <dxf>
      <numFmt numFmtId="169" formatCode="_(* #,##0.00000_);_(* \(#,##0.00000\);_(* &quot;-&quot;??_);_(@_)"/>
    </dxf>
    <dxf>
      <numFmt numFmtId="168" formatCode="_(* #,##0.0000_);_(* \(#,##0.0000\);_(* &quot;-&quot;??_);_(@_)"/>
    </dxf>
    <dxf>
      <numFmt numFmtId="165" formatCode="_(* #,##0.000_);_(* \(#,##0.000\);_(* &quot;-&quot;??_);_(@_)"/>
    </dxf>
    <dxf>
      <numFmt numFmtId="35" formatCode="_(* #,##0.00_);_(* \(#,##0.00\);_(* &quot;-&quot;??_);_(@_)"/>
    </dxf>
    <dxf>
      <numFmt numFmtId="167" formatCode="_(* #,##0.0_);_(* \(#,##0.0\);_(* &quot;-&quot;??_);_(@_)"/>
    </dxf>
    <dxf>
      <numFmt numFmtId="35" formatCode="_(* #,##0.00_);_(* \(#,##0.00\);_(* &quot;-&quot;??_);_(@_)"/>
    </dxf>
    <dxf>
      <numFmt numFmtId="166" formatCode="0.0000"/>
    </dxf>
    <dxf>
      <numFmt numFmtId="165" formatCode="_(* #,##0.000_);_(* \(#,##0.000\);_(* &quot;-&quot;??_);_(@_)"/>
    </dxf>
    <dxf>
      <numFmt numFmtId="35" formatCode="_(* #,##0.00_);_(* \(#,##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172" formatCode="_(* #,##0.00000000_);_(* \(#,##0.00000000\);_(* &quot;-&quot;??_);_(@_)"/>
    </dxf>
    <dxf>
      <numFmt numFmtId="171" formatCode="_(* #,##0.0000000_);_(* \(#,##0.0000000\);_(* &quot;-&quot;??_);_(@_)"/>
    </dxf>
    <dxf>
      <numFmt numFmtId="170" formatCode="_(* #,##0.000000_);_(* \(#,##0.000000\);_(* &quot;-&quot;??_);_(@_)"/>
    </dxf>
    <dxf>
      <numFmt numFmtId="169" formatCode="_(* #,##0.00000_);_(* \(#,##0.00000\);_(* &quot;-&quot;??_);_(@_)"/>
    </dxf>
    <dxf>
      <numFmt numFmtId="168" formatCode="_(* #,##0.0000_);_(* \(#,##0.0000\);_(* &quot;-&quot;??_);_(@_)"/>
    </dxf>
    <dxf>
      <numFmt numFmtId="165" formatCode="_(* #,##0.000_);_(* \(#,##0.000\);_(* &quot;-&quot;??_);_(@_)"/>
    </dxf>
    <dxf>
      <numFmt numFmtId="35" formatCode="_(* #,##0.00_);_(* \(#,##0.00\);_(* &quot;-&quot;??_);_(@_)"/>
    </dxf>
    <dxf>
      <numFmt numFmtId="167" formatCode="_(* #,##0.0_);_(* \(#,##0.0\);_(* &quot;-&quot;??_);_(@_)"/>
    </dxf>
    <dxf>
      <numFmt numFmtId="35" formatCode="_(* #,##0.00_);_(* \(#,##0.00\);_(* &quot;-&quot;??_);_(@_)"/>
    </dxf>
    <dxf>
      <numFmt numFmtId="166" formatCode="0.0000"/>
    </dxf>
    <dxf>
      <numFmt numFmtId="164" formatCode="_(* #,##0_);_(* \(#,##0\);_(* &quot;-&quot;??_);_(@_)"/>
    </dxf>
    <dxf>
      <numFmt numFmtId="167" formatCode="_(* #,##0.0_);_(* \(#,##0.0\);_(* &quot;-&quot;??_);_(@_)"/>
    </dxf>
    <dxf>
      <numFmt numFmtId="35" formatCode="_(* #,##0.00_);_(* \(#,##0.00\);_(* &quot;-&quot;??_);_(@_)"/>
    </dxf>
    <dxf>
      <alignment horizontal="center" readingOrder="0"/>
    </dxf>
    <dxf>
      <numFmt numFmtId="164" formatCode="_(* #,##0_);_(* \(#,##0\);_(* &quot;-&quot;??_);_(@_)"/>
    </dxf>
    <dxf>
      <numFmt numFmtId="167" formatCode="_(* #,##0.0_);_(* \(#,##0.0\);_(* &quot;-&quot;??_);_(@_)"/>
    </dxf>
    <dxf>
      <numFmt numFmtId="35" formatCode="_(* #,##0.00_);_(* \(#,##0.00\);_(* &quot;-&quot;??_);_(@_)"/>
    </dxf>
    <dxf>
      <numFmt numFmtId="13" formatCode="0%"/>
    </dxf>
    <dxf>
      <alignment horizontal="center" readingOrder="0"/>
    </dxf>
    <dxf>
      <numFmt numFmtId="165" formatCode="_(* #,##0.000_);_(* \(#,##0.000\);_(* &quot;-&quot;??_);_(@_)"/>
    </dxf>
    <dxf>
      <numFmt numFmtId="35" formatCode="_(* #,##0.00_);_(* \(#,##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172" formatCode="_(* #,##0.00000000_);_(* \(#,##0.00000000\);_(* &quot;-&quot;??_);_(@_)"/>
    </dxf>
    <dxf>
      <numFmt numFmtId="171" formatCode="_(* #,##0.0000000_);_(* \(#,##0.0000000\);_(* &quot;-&quot;??_);_(@_)"/>
    </dxf>
    <dxf>
      <numFmt numFmtId="170" formatCode="_(* #,##0.000000_);_(* \(#,##0.000000\);_(* &quot;-&quot;??_);_(@_)"/>
    </dxf>
    <dxf>
      <numFmt numFmtId="169" formatCode="_(* #,##0.00000_);_(* \(#,##0.00000\);_(* &quot;-&quot;??_);_(@_)"/>
    </dxf>
    <dxf>
      <numFmt numFmtId="168" formatCode="_(* #,##0.0000_);_(* \(#,##0.0000\);_(* &quot;-&quot;??_);_(@_)"/>
    </dxf>
    <dxf>
      <numFmt numFmtId="165" formatCode="_(* #,##0.000_);_(* \(#,##0.000\);_(* &quot;-&quot;??_);_(@_)"/>
    </dxf>
    <dxf>
      <numFmt numFmtId="35" formatCode="_(* #,##0.00_);_(* \(#,##0.00\);_(* &quot;-&quot;??_);_(@_)"/>
    </dxf>
    <dxf>
      <numFmt numFmtId="167" formatCode="_(* #,##0.0_);_(* \(#,##0.0\);_(* &quot;-&quot;??_);_(@_)"/>
    </dxf>
    <dxf>
      <numFmt numFmtId="35" formatCode="_(* #,##0.00_);_(* \(#,##0.00\);_(* &quot;-&quot;??_);_(@_)"/>
    </dxf>
    <dxf>
      <numFmt numFmtId="166" formatCode="0.0000"/>
    </dxf>
    <dxf>
      <numFmt numFmtId="164" formatCode="_(* #,##0_);_(* \(#,##0\);_(* &quot;-&quot;??_);_(@_)"/>
    </dxf>
    <dxf>
      <numFmt numFmtId="167" formatCode="_(* #,##0.0_);_(* \(#,##0.0\);_(* &quot;-&quot;??_);_(@_)"/>
    </dxf>
    <dxf>
      <numFmt numFmtId="35" formatCode="_(* #,##0.00_);_(* \(#,##0.00\);_(* &quot;-&quot;??_);_(@_)"/>
    </dxf>
    <dxf>
      <numFmt numFmtId="164" formatCode="_(* #,##0_);_(* \(#,##0\);_(* &quot;-&quot;??_);_(@_)"/>
    </dxf>
    <dxf>
      <numFmt numFmtId="167" formatCode="_(* #,##0.0_);_(* \(#,##0.0\);_(* &quot;-&quot;??_);_(@_)"/>
    </dxf>
    <dxf>
      <numFmt numFmtId="35" formatCode="_(* #,##0.00_);_(* \(#,##0.00\);_(* &quot;-&quot;??_);_(@_)"/>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3" formatCode="#,##0"/>
    </dxf>
    <dxf>
      <numFmt numFmtId="178" formatCode="#,##0.0"/>
    </dxf>
    <dxf>
      <numFmt numFmtId="4" formatCode="#,##0.00"/>
    </dxf>
    <dxf>
      <numFmt numFmtId="177" formatCode="#,##0.000"/>
    </dxf>
    <dxf>
      <numFmt numFmtId="165" formatCode="_(* #,##0.000_);_(* \(#,##0.000\);_(* &quot;-&quot;??_);_(@_)"/>
    </dxf>
    <dxf>
      <numFmt numFmtId="35" formatCode="_(* #,##0.00_);_(* \(#,##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172" formatCode="_(* #,##0.00000000_);_(* \(#,##0.00000000\);_(* &quot;-&quot;??_);_(@_)"/>
    </dxf>
    <dxf>
      <numFmt numFmtId="171" formatCode="_(* #,##0.0000000_);_(* \(#,##0.0000000\);_(* &quot;-&quot;??_);_(@_)"/>
    </dxf>
    <dxf>
      <numFmt numFmtId="170" formatCode="_(* #,##0.000000_);_(* \(#,##0.000000\);_(* &quot;-&quot;??_);_(@_)"/>
    </dxf>
    <dxf>
      <numFmt numFmtId="169" formatCode="_(* #,##0.00000_);_(* \(#,##0.00000\);_(* &quot;-&quot;??_);_(@_)"/>
    </dxf>
    <dxf>
      <numFmt numFmtId="168" formatCode="_(* #,##0.0000_);_(* \(#,##0.0000\);_(* &quot;-&quot;??_);_(@_)"/>
    </dxf>
    <dxf>
      <numFmt numFmtId="165" formatCode="_(* #,##0.000_);_(* \(#,##0.000\);_(* &quot;-&quot;??_);_(@_)"/>
    </dxf>
    <dxf>
      <numFmt numFmtId="35" formatCode="_(* #,##0.00_);_(* \(#,##0.00\);_(* &quot;-&quot;??_);_(@_)"/>
    </dxf>
    <dxf>
      <numFmt numFmtId="167" formatCode="_(* #,##0.0_);_(* \(#,##0.0\);_(* &quot;-&quot;??_);_(@_)"/>
    </dxf>
    <dxf>
      <numFmt numFmtId="35" formatCode="_(* #,##0.00_);_(* \(#,##0.00\);_(* &quot;-&quot;??_);_(@_)"/>
    </dxf>
    <dxf>
      <numFmt numFmtId="166" formatCode="0.0000"/>
    </dxf>
    <dxf>
      <numFmt numFmtId="14" formatCode="0.00%"/>
    </dxf>
    <dxf>
      <numFmt numFmtId="164" formatCode="_(* #,##0_);_(* \(#,##0\);_(* &quot;-&quot;??_);_(@_)"/>
    </dxf>
    <dxf>
      <numFmt numFmtId="167" formatCode="_(* #,##0.0_);_(* \(#,##0.0\);_(* &quot;-&quot;??_);_(@_)"/>
    </dxf>
    <dxf>
      <numFmt numFmtId="35" formatCode="_(* #,##0.00_);_(* \(#,##0.00\);_(* &quot;-&quot;??_);_(@_)"/>
    </dxf>
    <dxf>
      <numFmt numFmtId="13" formatCode="0%"/>
    </dxf>
    <dxf>
      <numFmt numFmtId="13" formatCode="0%"/>
    </dxf>
    <dxf>
      <numFmt numFmtId="176" formatCode="0.0%"/>
    </dxf>
    <dxf>
      <numFmt numFmtId="164" formatCode="_(* #,##0_);_(* \(#,##0\);_(* &quot;-&quot;??_);_(@_)"/>
    </dxf>
    <dxf>
      <numFmt numFmtId="167" formatCode="_(* #,##0.0_);_(* \(#,##0.0\);_(* &quot;-&quot;??_);_(@_)"/>
    </dxf>
    <dxf>
      <numFmt numFmtId="35" formatCode="_(* #,##0.00_);_(* \(#,##0.00\);_(* &quot;-&quot;??_);_(@_)"/>
    </dxf>
    <dxf>
      <alignment horizontal="center" readingOrder="0"/>
    </dxf>
    <dxf>
      <numFmt numFmtId="164" formatCode="_(* #,##0_);_(* \(#,##0\);_(* &quot;-&quot;??_);_(@_)"/>
    </dxf>
    <dxf>
      <numFmt numFmtId="167" formatCode="_(* #,##0.0_);_(* \(#,##0.0\);_(* &quot;-&quot;??_);_(@_)"/>
    </dxf>
    <dxf>
      <numFmt numFmtId="35" formatCode="_(* #,##0.00_);_(* \(#,##0.00\);_(* &quot;-&quot;??_);_(@_)"/>
    </dxf>
    <dxf>
      <numFmt numFmtId="13" formatCode="0%"/>
    </dxf>
    <dxf>
      <alignment horizontal="center" readingOrder="0"/>
    </dxf>
    <dxf>
      <numFmt numFmtId="165" formatCode="_(* #,##0.000_);_(* \(#,##0.000\);_(* &quot;-&quot;??_);_(@_)"/>
    </dxf>
    <dxf>
      <numFmt numFmtId="35" formatCode="_(* #,##0.00_);_(* \(#,##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172" formatCode="_(* #,##0.00000000_);_(* \(#,##0.00000000\);_(* &quot;-&quot;??_);_(@_)"/>
    </dxf>
    <dxf>
      <numFmt numFmtId="171" formatCode="_(* #,##0.0000000_);_(* \(#,##0.0000000\);_(* &quot;-&quot;??_);_(@_)"/>
    </dxf>
    <dxf>
      <numFmt numFmtId="170" formatCode="_(* #,##0.000000_);_(* \(#,##0.000000\);_(* &quot;-&quot;??_);_(@_)"/>
    </dxf>
    <dxf>
      <numFmt numFmtId="169" formatCode="_(* #,##0.00000_);_(* \(#,##0.00000\);_(* &quot;-&quot;??_);_(@_)"/>
    </dxf>
    <dxf>
      <numFmt numFmtId="168" formatCode="_(* #,##0.0000_);_(* \(#,##0.0000\);_(* &quot;-&quot;??_);_(@_)"/>
    </dxf>
    <dxf>
      <numFmt numFmtId="165" formatCode="_(* #,##0.000_);_(* \(#,##0.000\);_(* &quot;-&quot;??_);_(@_)"/>
    </dxf>
    <dxf>
      <numFmt numFmtId="35" formatCode="_(* #,##0.00_);_(* \(#,##0.00\);_(* &quot;-&quot;??_);_(@_)"/>
    </dxf>
    <dxf>
      <numFmt numFmtId="167" formatCode="_(* #,##0.0_);_(* \(#,##0.0\);_(* &quot;-&quot;??_);_(@_)"/>
    </dxf>
    <dxf>
      <numFmt numFmtId="35" formatCode="_(* #,##0.00_);_(* \(#,##0.00\);_(* &quot;-&quot;??_);_(@_)"/>
    </dxf>
    <dxf>
      <numFmt numFmtId="166" formatCode="0.0000"/>
    </dxf>
    <dxf>
      <numFmt numFmtId="164" formatCode="_(* #,##0_);_(* \(#,##0\);_(* &quot;-&quot;??_);_(@_)"/>
    </dxf>
    <dxf>
      <numFmt numFmtId="167" formatCode="_(* #,##0.0_);_(* \(#,##0.0\);_(* &quot;-&quot;??_);_(@_)"/>
    </dxf>
    <dxf>
      <numFmt numFmtId="35" formatCode="_(* #,##0.00_);_(* \(#,##0.00\);_(* &quot;-&quot;??_);_(@_)"/>
    </dxf>
    <dxf>
      <alignment horizontal="center" readingOrder="0"/>
    </dxf>
    <dxf>
      <alignment horizontal="center" readingOrder="0"/>
    </dxf>
    <dxf>
      <alignment horizontal="right" readingOrder="0"/>
    </dxf>
    <dxf>
      <alignment horizontal="center" readingOrder="0"/>
    </dxf>
    <dxf>
      <numFmt numFmtId="165" formatCode="_(* #,##0.000_);_(* \(#,##0.000\);_(* &quot;-&quot;??_);_(@_)"/>
    </dxf>
    <dxf>
      <numFmt numFmtId="35" formatCode="_(* #,##0.00_);_(* \(#,##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172" formatCode="_(* #,##0.00000000_);_(* \(#,##0.00000000\);_(* &quot;-&quot;??_);_(@_)"/>
    </dxf>
    <dxf>
      <numFmt numFmtId="171" formatCode="_(* #,##0.0000000_);_(* \(#,##0.0000000\);_(* &quot;-&quot;??_);_(@_)"/>
    </dxf>
    <dxf>
      <numFmt numFmtId="170" formatCode="_(* #,##0.000000_);_(* \(#,##0.000000\);_(* &quot;-&quot;??_);_(@_)"/>
    </dxf>
    <dxf>
      <numFmt numFmtId="169" formatCode="_(* #,##0.00000_);_(* \(#,##0.00000\);_(* &quot;-&quot;??_);_(@_)"/>
    </dxf>
    <dxf>
      <numFmt numFmtId="168" formatCode="_(* #,##0.0000_);_(* \(#,##0.0000\);_(* &quot;-&quot;??_);_(@_)"/>
    </dxf>
    <dxf>
      <numFmt numFmtId="165" formatCode="_(* #,##0.000_);_(* \(#,##0.000\);_(* &quot;-&quot;??_);_(@_)"/>
    </dxf>
    <dxf>
      <numFmt numFmtId="35" formatCode="_(* #,##0.00_);_(* \(#,##0.00\);_(* &quot;-&quot;??_);_(@_)"/>
    </dxf>
    <dxf>
      <numFmt numFmtId="167" formatCode="_(* #,##0.0_);_(* \(#,##0.0\);_(* &quot;-&quot;??_);_(@_)"/>
    </dxf>
    <dxf>
      <numFmt numFmtId="35" formatCode="_(* #,##0.00_);_(* \(#,##0.00\);_(* &quot;-&quot;??_);_(@_)"/>
    </dxf>
    <dxf>
      <numFmt numFmtId="166" formatCode="0.0000"/>
    </dxf>
    <dxf>
      <alignment horizontal="center" readingOrder="0"/>
    </dxf>
    <dxf>
      <numFmt numFmtId="164" formatCode="_(* #,##0_);_(* \(#,##0\);_(* &quot;-&quot;??_);_(@_)"/>
    </dxf>
    <dxf>
      <numFmt numFmtId="167" formatCode="_(* #,##0.0_);_(* \(#,##0.0\);_(* &quot;-&quot;??_);_(@_)"/>
    </dxf>
    <dxf>
      <numFmt numFmtId="35" formatCode="_(* #,##0.00_);_(* \(#,##0.00\);_(* &quot;-&quot;??_);_(@_)"/>
    </dxf>
    <dxf>
      <numFmt numFmtId="13" formatCode="0%"/>
    </dxf>
    <dxf>
      <alignment horizontal="center" readingOrder="0"/>
    </dxf>
    <dxf>
      <numFmt numFmtId="165" formatCode="_(* #,##0.000_);_(* \(#,##0.000\);_(* &quot;-&quot;??_);_(@_)"/>
    </dxf>
    <dxf>
      <numFmt numFmtId="35" formatCode="_(* #,##0.00_);_(* \(#,##0.00\);_(* &quot;-&quot;??_);_(@_)"/>
    </dxf>
    <dxf>
      <numFmt numFmtId="173" formatCode="_(* #,##0.000000000_);_(* \(#,##0.000000000\);_(* &quot;-&quot;??_);_(@_)"/>
    </dxf>
    <dxf>
      <numFmt numFmtId="174" formatCode="_(* #,##0.0000000000_);_(* \(#,##0.0000000000\);_(* &quot;-&quot;??_);_(@_)"/>
    </dxf>
    <dxf>
      <numFmt numFmtId="175" formatCode="_(* #,##0.00000000000_);_(* \(#,##0.00000000000\);_(* &quot;-&quot;??_);_(@_)"/>
    </dxf>
    <dxf>
      <numFmt numFmtId="174" formatCode="_(* #,##0.0000000000_);_(* \(#,##0.0000000000\);_(* &quot;-&quot;??_);_(@_)"/>
    </dxf>
    <dxf>
      <numFmt numFmtId="173" formatCode="_(* #,##0.000000000_);_(* \(#,##0.000000000\);_(* &quot;-&quot;??_);_(@_)"/>
    </dxf>
    <dxf>
      <numFmt numFmtId="172" formatCode="_(* #,##0.00000000_);_(* \(#,##0.00000000\);_(* &quot;-&quot;??_);_(@_)"/>
    </dxf>
    <dxf>
      <numFmt numFmtId="171" formatCode="_(* #,##0.0000000_);_(* \(#,##0.0000000\);_(* &quot;-&quot;??_);_(@_)"/>
    </dxf>
    <dxf>
      <numFmt numFmtId="170" formatCode="_(* #,##0.000000_);_(* \(#,##0.000000\);_(* &quot;-&quot;??_);_(@_)"/>
    </dxf>
    <dxf>
      <numFmt numFmtId="169" formatCode="_(* #,##0.00000_);_(* \(#,##0.00000\);_(* &quot;-&quot;??_);_(@_)"/>
    </dxf>
    <dxf>
      <numFmt numFmtId="168" formatCode="_(* #,##0.0000_);_(* \(#,##0.0000\);_(* &quot;-&quot;??_);_(@_)"/>
    </dxf>
    <dxf>
      <numFmt numFmtId="165" formatCode="_(* #,##0.000_);_(* \(#,##0.000\);_(* &quot;-&quot;??_);_(@_)"/>
    </dxf>
    <dxf>
      <numFmt numFmtId="35" formatCode="_(* #,##0.00_);_(* \(#,##0.00\);_(* &quot;-&quot;??_);_(@_)"/>
    </dxf>
    <dxf>
      <numFmt numFmtId="167" formatCode="_(* #,##0.0_);_(* \(#,##0.0\);_(* &quot;-&quot;??_);_(@_)"/>
    </dxf>
    <dxf>
      <numFmt numFmtId="35" formatCode="_(* #,##0.00_);_(* \(#,##0.00\);_(* &quot;-&quot;??_);_(@_)"/>
    </dxf>
    <dxf>
      <numFmt numFmtId="166" formatCode="0.0000"/>
    </dxf>
    <dxf>
      <font>
        <b val="0"/>
        <i val="0"/>
        <sz val="12"/>
      </font>
      <fill>
        <patternFill>
          <fgColor theme="8" tint="-0.24994659260841701"/>
          <bgColor theme="3" tint="0.39991454817346722"/>
        </patternFill>
      </fill>
      <border>
        <left style="dotted">
          <color auto="1"/>
        </left>
        <right style="dotted">
          <color auto="1"/>
        </right>
        <top/>
        <bottom style="dotted">
          <color auto="1"/>
        </bottom>
      </border>
    </dxf>
  </dxfs>
  <tableStyles count="2" defaultTableStyle="TableStyleMedium2" defaultPivotStyle="PivotStyleLight16">
    <tableStyle name="Invisible" pivot="0" table="0" count="0"/>
    <tableStyle name="Slicer Style 1" pivot="0" table="0" count="1">
      <tableStyleElement type="wholeTable" dxfId="156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 table!PivotTable7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5">
                    <a:lumMod val="50000"/>
                  </a:schemeClr>
                </a:solidFill>
              </a:rPr>
              <a:t>On-time</a:t>
            </a:r>
            <a:r>
              <a:rPr lang="en-US" sz="1800" b="1" baseline="0">
                <a:solidFill>
                  <a:schemeClr val="accent5">
                    <a:lumMod val="50000"/>
                  </a:schemeClr>
                </a:solidFill>
              </a:rPr>
              <a:t> Delivery Rate</a:t>
            </a:r>
            <a:endParaRPr lang="en-US" sz="18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dLbl>
          <c:idx val="0"/>
          <c:layout>
            <c:manualLayout>
              <c:x val="-0.20000000000000004"/>
              <c:y val="-6.5909521726450856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722222222222222"/>
                  <c:h val="0.10300925925925926"/>
                </c:manualLayout>
              </c15:layout>
            </c:ext>
          </c:extLst>
        </c:dLbl>
      </c:pivotFmt>
      <c:pivotFmt>
        <c:idx val="2"/>
        <c:spPr>
          <a:solidFill>
            <a:srgbClr val="C00000"/>
          </a:solidFill>
          <a:ln w="19050">
            <a:solidFill>
              <a:schemeClr val="lt1"/>
            </a:solidFill>
          </a:ln>
          <a:effectLst/>
        </c:spPr>
        <c:dLbl>
          <c:idx val="0"/>
          <c:layout>
            <c:manualLayout>
              <c:x val="0.13900010936132984"/>
              <c:y val="4.539041994750656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table'!$BE$9</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A6E2-4FCA-9BF3-9A8E4D5AE2C6}"/>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A6E2-4FCA-9BF3-9A8E4D5AE2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32-4485-83D3-4D58F612076F}"/>
              </c:ext>
            </c:extLst>
          </c:dPt>
          <c:dLbls>
            <c:dLbl>
              <c:idx val="0"/>
              <c:layout>
                <c:manualLayout>
                  <c:x val="-0.20000000000000004"/>
                  <c:y val="-6.5909521726450856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722222222222222"/>
                      <c:h val="0.10300925925925926"/>
                    </c:manualLayout>
                  </c15:layout>
                </c:ext>
                <c:ext xmlns:c16="http://schemas.microsoft.com/office/drawing/2014/chart" uri="{C3380CC4-5D6E-409C-BE32-E72D297353CC}">
                  <c16:uniqueId val="{00000001-A6E2-4FCA-9BF3-9A8E4D5AE2C6}"/>
                </c:ext>
              </c:extLst>
            </c:dLbl>
            <c:dLbl>
              <c:idx val="1"/>
              <c:layout>
                <c:manualLayout>
                  <c:x val="0.13900010936132984"/>
                  <c:y val="4.53904199475065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E2-4FCA-9BF3-9A8E4D5AE2C6}"/>
                </c:ext>
              </c:extLst>
            </c:dLbl>
            <c:dLbl>
              <c:idx val="2"/>
              <c:delete val="1"/>
              <c:extLst>
                <c:ext xmlns:c15="http://schemas.microsoft.com/office/drawing/2012/chart" uri="{CE6537A1-D6FC-4f65-9D91-7224C49458BB}"/>
                <c:ext xmlns:c16="http://schemas.microsoft.com/office/drawing/2014/chart" uri="{C3380CC4-5D6E-409C-BE32-E72D297353CC}">
                  <c16:uniqueId val="{00000005-5932-4485-83D3-4D58F612076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table'!$BD$10:$BD$13</c:f>
              <c:strCache>
                <c:ptCount val="3"/>
                <c:pt idx="0">
                  <c:v>في الموعد</c:v>
                </c:pt>
                <c:pt idx="1">
                  <c:v>متاخر</c:v>
                </c:pt>
                <c:pt idx="2">
                  <c:v>(blank)</c:v>
                </c:pt>
              </c:strCache>
            </c:strRef>
          </c:cat>
          <c:val>
            <c:numRef>
              <c:f>'pivot table'!$BE$10:$BE$13</c:f>
              <c:numCache>
                <c:formatCode>0.00%</c:formatCode>
                <c:ptCount val="3"/>
                <c:pt idx="0">
                  <c:v>0.60606060606060608</c:v>
                </c:pt>
                <c:pt idx="1">
                  <c:v>0.39393939393939392</c:v>
                </c:pt>
                <c:pt idx="2">
                  <c:v>0</c:v>
                </c:pt>
              </c:numCache>
            </c:numRef>
          </c:val>
          <c:extLst>
            <c:ext xmlns:c16="http://schemas.microsoft.com/office/drawing/2014/chart" uri="{C3380CC4-5D6E-409C-BE32-E72D297353CC}">
              <c16:uniqueId val="{00000000-1401-41F0-BE9F-27B7F108CC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 table!PivotTable5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table'!$AP$9</c:f>
              <c:strCache>
                <c:ptCount val="1"/>
                <c:pt idx="0">
                  <c:v>Total</c:v>
                </c:pt>
              </c:strCache>
            </c:strRef>
          </c:tx>
          <c:spPr>
            <a:solidFill>
              <a:schemeClr val="accent1"/>
            </a:solidFill>
            <a:ln>
              <a:noFill/>
            </a:ln>
            <a:effectLst/>
          </c:spPr>
          <c:invertIfNegative val="0"/>
          <c:cat>
            <c:strRef>
              <c:f>'pivot table'!$AO$10:$AO$16</c:f>
              <c:strCache>
                <c:ptCount val="6"/>
                <c:pt idx="0">
                  <c:v>سرير</c:v>
                </c:pt>
                <c:pt idx="1">
                  <c:v>كنبه</c:v>
                </c:pt>
                <c:pt idx="2">
                  <c:v>ترابيزه</c:v>
                </c:pt>
                <c:pt idx="3">
                  <c:v>كرسى</c:v>
                </c:pt>
                <c:pt idx="4">
                  <c:v>ركنة</c:v>
                </c:pt>
                <c:pt idx="5">
                  <c:v>شيزلونج</c:v>
                </c:pt>
              </c:strCache>
            </c:strRef>
          </c:cat>
          <c:val>
            <c:numRef>
              <c:f>'pivot table'!$AP$10:$AP$16</c:f>
              <c:numCache>
                <c:formatCode>_(* #,##0_);_(* \(#,##0\);_(* "-"??_);_(@_)</c:formatCode>
                <c:ptCount val="6"/>
                <c:pt idx="0">
                  <c:v>86</c:v>
                </c:pt>
                <c:pt idx="1">
                  <c:v>17</c:v>
                </c:pt>
                <c:pt idx="2">
                  <c:v>16</c:v>
                </c:pt>
                <c:pt idx="3">
                  <c:v>1</c:v>
                </c:pt>
                <c:pt idx="4">
                  <c:v>1</c:v>
                </c:pt>
                <c:pt idx="5">
                  <c:v>1</c:v>
                </c:pt>
              </c:numCache>
            </c:numRef>
          </c:val>
          <c:extLst>
            <c:ext xmlns:c16="http://schemas.microsoft.com/office/drawing/2014/chart" uri="{C3380CC4-5D6E-409C-BE32-E72D297353CC}">
              <c16:uniqueId val="{00000000-FCE1-4CC8-9BF0-557A5C2BF042}"/>
            </c:ext>
          </c:extLst>
        </c:ser>
        <c:dLbls>
          <c:showLegendKey val="0"/>
          <c:showVal val="0"/>
          <c:showCatName val="0"/>
          <c:showSerName val="0"/>
          <c:showPercent val="0"/>
          <c:showBubbleSize val="0"/>
        </c:dLbls>
        <c:gapWidth val="219"/>
        <c:overlap val="-27"/>
        <c:axId val="622084192"/>
        <c:axId val="622085176"/>
      </c:barChart>
      <c:catAx>
        <c:axId val="62208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85176"/>
        <c:crosses val="autoZero"/>
        <c:auto val="1"/>
        <c:lblAlgn val="ctr"/>
        <c:lblOffset val="100"/>
        <c:noMultiLvlLbl val="0"/>
      </c:catAx>
      <c:valAx>
        <c:axId val="6220851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8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 table!PivotTable4</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table'!$AD$10</c:f>
              <c:strCache>
                <c:ptCount val="1"/>
                <c:pt idx="0">
                  <c:v>Total</c:v>
                </c:pt>
              </c:strCache>
            </c:strRef>
          </c:tx>
          <c:spPr>
            <a:solidFill>
              <a:schemeClr val="accent1"/>
            </a:solidFill>
            <a:ln>
              <a:noFill/>
            </a:ln>
            <a:effectLst/>
          </c:spPr>
          <c:invertIfNegative val="0"/>
          <c:cat>
            <c:strRef>
              <c:f>'pivot table'!$AC$11:$AC$19</c:f>
              <c:strCache>
                <c:ptCount val="8"/>
                <c:pt idx="0">
                  <c:v>هومزمارت</c:v>
                </c:pt>
                <c:pt idx="1">
                  <c:v>شيك هومز </c:v>
                </c:pt>
                <c:pt idx="2">
                  <c:v>اوسكار ريتن </c:v>
                </c:pt>
                <c:pt idx="3">
                  <c:v>تاكى</c:v>
                </c:pt>
                <c:pt idx="4">
                  <c:v>السويس</c:v>
                </c:pt>
                <c:pt idx="5">
                  <c:v>فيس بوك</c:v>
                </c:pt>
                <c:pt idx="6">
                  <c:v>منزلى </c:v>
                </c:pt>
                <c:pt idx="7">
                  <c:v>كيمت </c:v>
                </c:pt>
              </c:strCache>
            </c:strRef>
          </c:cat>
          <c:val>
            <c:numRef>
              <c:f>'pivot table'!$AD$11:$AD$19</c:f>
              <c:numCache>
                <c:formatCode>General</c:formatCode>
                <c:ptCount val="8"/>
                <c:pt idx="0">
                  <c:v>77</c:v>
                </c:pt>
                <c:pt idx="1">
                  <c:v>16</c:v>
                </c:pt>
                <c:pt idx="2">
                  <c:v>12</c:v>
                </c:pt>
                <c:pt idx="3">
                  <c:v>7</c:v>
                </c:pt>
                <c:pt idx="4">
                  <c:v>4</c:v>
                </c:pt>
                <c:pt idx="5">
                  <c:v>3</c:v>
                </c:pt>
                <c:pt idx="6">
                  <c:v>2</c:v>
                </c:pt>
                <c:pt idx="7">
                  <c:v>1</c:v>
                </c:pt>
              </c:numCache>
            </c:numRef>
          </c:val>
          <c:extLst>
            <c:ext xmlns:c16="http://schemas.microsoft.com/office/drawing/2014/chart" uri="{C3380CC4-5D6E-409C-BE32-E72D297353CC}">
              <c16:uniqueId val="{00000000-9BA2-4A55-8358-BAE88F0D78FB}"/>
            </c:ext>
          </c:extLst>
        </c:ser>
        <c:dLbls>
          <c:showLegendKey val="0"/>
          <c:showVal val="0"/>
          <c:showCatName val="0"/>
          <c:showSerName val="0"/>
          <c:showPercent val="0"/>
          <c:showBubbleSize val="0"/>
        </c:dLbls>
        <c:gapWidth val="182"/>
        <c:axId val="792824848"/>
        <c:axId val="792704024"/>
      </c:barChart>
      <c:catAx>
        <c:axId val="79282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704024"/>
        <c:crosses val="autoZero"/>
        <c:auto val="1"/>
        <c:lblAlgn val="ctr"/>
        <c:lblOffset val="100"/>
        <c:noMultiLvlLbl val="0"/>
      </c:catAx>
      <c:valAx>
        <c:axId val="792704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2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 table!PivotTable6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table'!$AV$11</c:f>
              <c:strCache>
                <c:ptCount val="1"/>
                <c:pt idx="0">
                  <c:v>Total</c:v>
                </c:pt>
              </c:strCache>
            </c:strRef>
          </c:tx>
          <c:spPr>
            <a:solidFill>
              <a:schemeClr val="accent1"/>
            </a:solidFill>
            <a:ln>
              <a:noFill/>
            </a:ln>
            <a:effectLst/>
          </c:spPr>
          <c:invertIfNegative val="0"/>
          <c:cat>
            <c:strRef>
              <c:f>'pivot table'!$AU$12:$AU$24</c:f>
              <c:strCache>
                <c:ptCount val="12"/>
                <c:pt idx="0">
                  <c:v>اسود </c:v>
                </c:pt>
                <c:pt idx="1">
                  <c:v>ابيض</c:v>
                </c:pt>
                <c:pt idx="2">
                  <c:v>رمادى</c:v>
                </c:pt>
                <c:pt idx="3">
                  <c:v>ازرق</c:v>
                </c:pt>
                <c:pt idx="4">
                  <c:v>بينك</c:v>
                </c:pt>
                <c:pt idx="5">
                  <c:v>دهبي</c:v>
                </c:pt>
                <c:pt idx="6">
                  <c:v>الوان</c:v>
                </c:pt>
                <c:pt idx="7">
                  <c:v>اسود وبنى</c:v>
                </c:pt>
                <c:pt idx="8">
                  <c:v>بنفسجى</c:v>
                </c:pt>
                <c:pt idx="9">
                  <c:v>ملون</c:v>
                </c:pt>
                <c:pt idx="10">
                  <c:v>نبيتى </c:v>
                </c:pt>
                <c:pt idx="11">
                  <c:v>(blank)</c:v>
                </c:pt>
              </c:strCache>
            </c:strRef>
          </c:cat>
          <c:val>
            <c:numRef>
              <c:f>'pivot table'!$AV$12:$AV$24</c:f>
              <c:numCache>
                <c:formatCode>_(* #,##0_);_(* \(#,##0\);_(* "-"??_);_(@_)</c:formatCode>
                <c:ptCount val="12"/>
                <c:pt idx="0">
                  <c:v>45</c:v>
                </c:pt>
                <c:pt idx="1">
                  <c:v>37</c:v>
                </c:pt>
                <c:pt idx="2">
                  <c:v>8</c:v>
                </c:pt>
                <c:pt idx="3">
                  <c:v>3</c:v>
                </c:pt>
                <c:pt idx="4">
                  <c:v>2</c:v>
                </c:pt>
                <c:pt idx="5">
                  <c:v>2</c:v>
                </c:pt>
                <c:pt idx="6">
                  <c:v>2</c:v>
                </c:pt>
                <c:pt idx="7">
                  <c:v>2</c:v>
                </c:pt>
                <c:pt idx="8">
                  <c:v>2</c:v>
                </c:pt>
                <c:pt idx="9">
                  <c:v>1</c:v>
                </c:pt>
                <c:pt idx="10">
                  <c:v>1</c:v>
                </c:pt>
              </c:numCache>
            </c:numRef>
          </c:val>
          <c:extLst>
            <c:ext xmlns:c16="http://schemas.microsoft.com/office/drawing/2014/chart" uri="{C3380CC4-5D6E-409C-BE32-E72D297353CC}">
              <c16:uniqueId val="{00000000-F223-42CC-A690-A4451377614B}"/>
            </c:ext>
          </c:extLst>
        </c:ser>
        <c:dLbls>
          <c:showLegendKey val="0"/>
          <c:showVal val="0"/>
          <c:showCatName val="0"/>
          <c:showSerName val="0"/>
          <c:showPercent val="0"/>
          <c:showBubbleSize val="0"/>
        </c:dLbls>
        <c:gapWidth val="219"/>
        <c:overlap val="-27"/>
        <c:axId val="829882464"/>
        <c:axId val="829878856"/>
      </c:barChart>
      <c:catAx>
        <c:axId val="82988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878856"/>
        <c:crosses val="autoZero"/>
        <c:auto val="1"/>
        <c:lblAlgn val="ctr"/>
        <c:lblOffset val="100"/>
        <c:noMultiLvlLbl val="0"/>
      </c:catAx>
      <c:valAx>
        <c:axId val="82987885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88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 table!PivotTable10</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table'!$CC$8</c:f>
              <c:strCache>
                <c:ptCount val="1"/>
                <c:pt idx="0">
                  <c:v>Total</c:v>
                </c:pt>
              </c:strCache>
            </c:strRef>
          </c:tx>
          <c:spPr>
            <a:ln w="28575" cap="rnd">
              <a:solidFill>
                <a:schemeClr val="accent1"/>
              </a:solidFill>
              <a:round/>
            </a:ln>
            <a:effectLst/>
          </c:spPr>
          <c:marker>
            <c:symbol val="none"/>
          </c:marker>
          <c:cat>
            <c:strRef>
              <c:f>'pivot table'!$CB$9:$CB$19</c:f>
              <c:strCache>
                <c:ptCount val="10"/>
                <c:pt idx="0">
                  <c:v>6اكتوبر</c:v>
                </c:pt>
                <c:pt idx="1">
                  <c:v>القاهره الجديده</c:v>
                </c:pt>
                <c:pt idx="2">
                  <c:v>العباسيه </c:v>
                </c:pt>
                <c:pt idx="3">
                  <c:v>المعادي</c:v>
                </c:pt>
                <c:pt idx="4">
                  <c:v>المخزن ابو الغيط</c:v>
                </c:pt>
                <c:pt idx="5">
                  <c:v>الإسكندرية</c:v>
                </c:pt>
                <c:pt idx="6">
                  <c:v>التجمع الخامس</c:v>
                </c:pt>
                <c:pt idx="7">
                  <c:v>القناطر</c:v>
                </c:pt>
                <c:pt idx="8">
                  <c:v>السويس</c:v>
                </c:pt>
                <c:pt idx="9">
                  <c:v>الشروق القاهره</c:v>
                </c:pt>
              </c:strCache>
            </c:strRef>
          </c:cat>
          <c:val>
            <c:numRef>
              <c:f>'pivot table'!$CC$9:$CC$19</c:f>
              <c:numCache>
                <c:formatCode>General</c:formatCode>
                <c:ptCount val="10"/>
                <c:pt idx="0">
                  <c:v>24</c:v>
                </c:pt>
                <c:pt idx="1">
                  <c:v>14</c:v>
                </c:pt>
                <c:pt idx="2">
                  <c:v>8</c:v>
                </c:pt>
                <c:pt idx="3">
                  <c:v>7</c:v>
                </c:pt>
                <c:pt idx="4">
                  <c:v>6</c:v>
                </c:pt>
                <c:pt idx="5">
                  <c:v>5</c:v>
                </c:pt>
                <c:pt idx="6">
                  <c:v>5</c:v>
                </c:pt>
                <c:pt idx="7">
                  <c:v>4</c:v>
                </c:pt>
                <c:pt idx="8">
                  <c:v>4</c:v>
                </c:pt>
                <c:pt idx="9">
                  <c:v>4</c:v>
                </c:pt>
              </c:numCache>
            </c:numRef>
          </c:val>
          <c:smooth val="0"/>
          <c:extLst>
            <c:ext xmlns:c16="http://schemas.microsoft.com/office/drawing/2014/chart" uri="{C3380CC4-5D6E-409C-BE32-E72D297353CC}">
              <c16:uniqueId val="{00000000-8637-4CB9-9608-FFC7D1A9F2D3}"/>
            </c:ext>
          </c:extLst>
        </c:ser>
        <c:dLbls>
          <c:showLegendKey val="0"/>
          <c:showVal val="0"/>
          <c:showCatName val="0"/>
          <c:showSerName val="0"/>
          <c:showPercent val="0"/>
          <c:showBubbleSize val="0"/>
        </c:dLbls>
        <c:smooth val="0"/>
        <c:axId val="792825176"/>
        <c:axId val="792825504"/>
      </c:lineChart>
      <c:catAx>
        <c:axId val="792825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25504"/>
        <c:crosses val="autoZero"/>
        <c:auto val="1"/>
        <c:lblAlgn val="ctr"/>
        <c:lblOffset val="100"/>
        <c:noMultiLvlLbl val="0"/>
      </c:catAx>
      <c:valAx>
        <c:axId val="79282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2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 table!PivotTable8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5">
                    <a:lumMod val="50000"/>
                  </a:schemeClr>
                </a:solidFill>
              </a:rPr>
              <a:t>Delivery</a:t>
            </a:r>
            <a:r>
              <a:rPr lang="en-US" sz="2000" b="1" baseline="0">
                <a:solidFill>
                  <a:schemeClr val="accent5">
                    <a:lumMod val="50000"/>
                  </a:schemeClr>
                </a:solidFill>
              </a:rPr>
              <a:t> Status Breakdown</a:t>
            </a:r>
            <a:endParaRPr lang="en-US" sz="2000"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002060"/>
          </a:solidFill>
          <a:ln w="19050">
            <a:solidFill>
              <a:schemeClr val="lt1"/>
            </a:solidFill>
          </a:ln>
          <a:effectLst/>
        </c:spPr>
      </c:pivotFmt>
    </c:pivotFmts>
    <c:plotArea>
      <c:layout/>
      <c:pieChart>
        <c:varyColors val="1"/>
        <c:ser>
          <c:idx val="0"/>
          <c:order val="0"/>
          <c:tx>
            <c:strRef>
              <c:f>'pivot table'!$BP$12</c:f>
              <c:strCache>
                <c:ptCount val="1"/>
                <c:pt idx="0">
                  <c:v>Total</c:v>
                </c:pt>
              </c:strCache>
            </c:strRef>
          </c:tx>
          <c:spPr>
            <a:solidFill>
              <a:srgbClr val="C00000"/>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2-6FF7-4C90-863D-EFF87DF15F56}"/>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1-6FF7-4C90-863D-EFF87DF15F5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table'!$BO$13:$BO$15</c:f>
              <c:strCache>
                <c:ptCount val="2"/>
                <c:pt idx="0">
                  <c:v>تم التسليم</c:v>
                </c:pt>
                <c:pt idx="1">
                  <c:v>لاغي</c:v>
                </c:pt>
              </c:strCache>
            </c:strRef>
          </c:cat>
          <c:val>
            <c:numRef>
              <c:f>'pivot table'!$BP$13:$BP$15</c:f>
              <c:numCache>
                <c:formatCode>0.00%</c:formatCode>
                <c:ptCount val="2"/>
                <c:pt idx="0">
                  <c:v>0.83606557377049184</c:v>
                </c:pt>
                <c:pt idx="1">
                  <c:v>0.16393442622950818</c:v>
                </c:pt>
              </c:numCache>
            </c:numRef>
          </c:val>
          <c:extLst>
            <c:ext xmlns:c16="http://schemas.microsoft.com/office/drawing/2014/chart" uri="{C3380CC4-5D6E-409C-BE32-E72D297353CC}">
              <c16:uniqueId val="{00000000-6FF7-4C90-863D-EFF87DF15F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 table!PivotTable5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accent5">
                    <a:lumMod val="50000"/>
                  </a:schemeClr>
                </a:solidFill>
              </a:rPr>
              <a:t>Best</a:t>
            </a:r>
            <a:r>
              <a:rPr lang="en-US" sz="2400" b="1" baseline="0">
                <a:solidFill>
                  <a:schemeClr val="accent5">
                    <a:lumMod val="50000"/>
                  </a:schemeClr>
                </a:solidFill>
              </a:rPr>
              <a:t> Seller Product</a:t>
            </a:r>
          </a:p>
        </c:rich>
      </c:tx>
      <c:layout>
        <c:manualLayout>
          <c:xMode val="edge"/>
          <c:yMode val="edge"/>
          <c:x val="0.24679101197455888"/>
          <c:y val="9.60129703749201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8886701662292215E-2"/>
          <c:y val="0.27717373869932921"/>
          <c:w val="0.76248359580052494"/>
          <c:h val="0.54070683872849223"/>
        </c:manualLayout>
      </c:layout>
      <c:barChart>
        <c:barDir val="col"/>
        <c:grouping val="clustered"/>
        <c:varyColors val="0"/>
        <c:ser>
          <c:idx val="0"/>
          <c:order val="0"/>
          <c:tx>
            <c:strRef>
              <c:f>'pivot table'!$AP$9</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table'!$AO$10:$AO$16</c:f>
              <c:strCache>
                <c:ptCount val="6"/>
                <c:pt idx="0">
                  <c:v>سرير</c:v>
                </c:pt>
                <c:pt idx="1">
                  <c:v>كنبه</c:v>
                </c:pt>
                <c:pt idx="2">
                  <c:v>ترابيزه</c:v>
                </c:pt>
                <c:pt idx="3">
                  <c:v>كرسى</c:v>
                </c:pt>
                <c:pt idx="4">
                  <c:v>ركنة</c:v>
                </c:pt>
                <c:pt idx="5">
                  <c:v>شيزلونج</c:v>
                </c:pt>
              </c:strCache>
            </c:strRef>
          </c:cat>
          <c:val>
            <c:numRef>
              <c:f>'pivot table'!$AP$10:$AP$16</c:f>
              <c:numCache>
                <c:formatCode>_(* #,##0_);_(* \(#,##0\);_(* "-"??_);_(@_)</c:formatCode>
                <c:ptCount val="6"/>
                <c:pt idx="0">
                  <c:v>86</c:v>
                </c:pt>
                <c:pt idx="1">
                  <c:v>17</c:v>
                </c:pt>
                <c:pt idx="2">
                  <c:v>16</c:v>
                </c:pt>
                <c:pt idx="3">
                  <c:v>1</c:v>
                </c:pt>
                <c:pt idx="4">
                  <c:v>1</c:v>
                </c:pt>
                <c:pt idx="5">
                  <c:v>1</c:v>
                </c:pt>
              </c:numCache>
            </c:numRef>
          </c:val>
          <c:extLst>
            <c:ext xmlns:c16="http://schemas.microsoft.com/office/drawing/2014/chart" uri="{C3380CC4-5D6E-409C-BE32-E72D297353CC}">
              <c16:uniqueId val="{00000000-6A70-45BA-8C5A-16FA4A8B9429}"/>
            </c:ext>
          </c:extLst>
        </c:ser>
        <c:dLbls>
          <c:dLblPos val="outEnd"/>
          <c:showLegendKey val="0"/>
          <c:showVal val="1"/>
          <c:showCatName val="0"/>
          <c:showSerName val="0"/>
          <c:showPercent val="0"/>
          <c:showBubbleSize val="0"/>
        </c:dLbls>
        <c:gapWidth val="219"/>
        <c:overlap val="-27"/>
        <c:axId val="622084192"/>
        <c:axId val="622085176"/>
      </c:barChart>
      <c:catAx>
        <c:axId val="62208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5">
                    <a:lumMod val="50000"/>
                  </a:schemeClr>
                </a:solidFill>
                <a:latin typeface="+mn-lt"/>
                <a:ea typeface="+mn-ea"/>
                <a:cs typeface="+mn-cs"/>
              </a:defRPr>
            </a:pPr>
            <a:endParaRPr lang="en-US"/>
          </a:p>
        </c:txPr>
        <c:crossAx val="622085176"/>
        <c:crosses val="autoZero"/>
        <c:auto val="1"/>
        <c:lblAlgn val="ctr"/>
        <c:lblOffset val="100"/>
        <c:noMultiLvlLbl val="0"/>
      </c:catAx>
      <c:valAx>
        <c:axId val="622085176"/>
        <c:scaling>
          <c:orientation val="minMax"/>
        </c:scaling>
        <c:delete val="1"/>
        <c:axPos val="l"/>
        <c:majorGridlines>
          <c:spPr>
            <a:ln w="9525" cap="flat" cmpd="sng" algn="ctr">
              <a:noFill/>
              <a:round/>
            </a:ln>
            <a:effectLst/>
          </c:spPr>
        </c:majorGridlines>
        <c:numFmt formatCode="_(* #,##0_);_(* \(#,##0\);_(* &quot;-&quot;??_);_(@_)" sourceLinked="1"/>
        <c:majorTickMark val="none"/>
        <c:minorTickMark val="none"/>
        <c:tickLblPos val="nextTo"/>
        <c:crossAx val="622084192"/>
        <c:crosses val="autoZero"/>
        <c:crossBetween val="between"/>
      </c:valAx>
      <c:spPr>
        <a:noFill/>
        <a:ln w="25400">
          <a:noFill/>
        </a:ln>
        <a:effectLst/>
      </c:spPr>
    </c:plotArea>
    <c:plotVisOnly val="1"/>
    <c:dispBlanksAs val="gap"/>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 table!PivotTable4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5">
                    <a:lumMod val="50000"/>
                  </a:schemeClr>
                </a:solidFill>
              </a:rPr>
              <a:t>Sales</a:t>
            </a:r>
            <a:r>
              <a:rPr lang="en-US" sz="2000" b="1" baseline="0">
                <a:solidFill>
                  <a:schemeClr val="accent5">
                    <a:lumMod val="50000"/>
                  </a:schemeClr>
                </a:solidFill>
              </a:rPr>
              <a:t> By Platform</a:t>
            </a:r>
            <a:endParaRPr lang="en-US" sz="2000" b="1">
              <a:solidFill>
                <a:schemeClr val="accent5">
                  <a:lumMod val="50000"/>
                </a:schemeClr>
              </a:solidFill>
            </a:endParaRPr>
          </a:p>
        </c:rich>
      </c:tx>
      <c:layout>
        <c:manualLayout>
          <c:xMode val="edge"/>
          <c:yMode val="edge"/>
          <c:x val="0.28045122484689416"/>
          <c:y val="7.03839696661679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table'!$AD$10</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table'!$AC$11:$AC$19</c:f>
              <c:strCache>
                <c:ptCount val="8"/>
                <c:pt idx="0">
                  <c:v>هومزمارت</c:v>
                </c:pt>
                <c:pt idx="1">
                  <c:v>شيك هومز </c:v>
                </c:pt>
                <c:pt idx="2">
                  <c:v>اوسكار ريتن </c:v>
                </c:pt>
                <c:pt idx="3">
                  <c:v>تاكى</c:v>
                </c:pt>
                <c:pt idx="4">
                  <c:v>السويس</c:v>
                </c:pt>
                <c:pt idx="5">
                  <c:v>فيس بوك</c:v>
                </c:pt>
                <c:pt idx="6">
                  <c:v>منزلى </c:v>
                </c:pt>
                <c:pt idx="7">
                  <c:v>كيمت </c:v>
                </c:pt>
              </c:strCache>
            </c:strRef>
          </c:cat>
          <c:val>
            <c:numRef>
              <c:f>'pivot table'!$AD$11:$AD$19</c:f>
              <c:numCache>
                <c:formatCode>General</c:formatCode>
                <c:ptCount val="8"/>
                <c:pt idx="0">
                  <c:v>77</c:v>
                </c:pt>
                <c:pt idx="1">
                  <c:v>16</c:v>
                </c:pt>
                <c:pt idx="2">
                  <c:v>12</c:v>
                </c:pt>
                <c:pt idx="3">
                  <c:v>7</c:v>
                </c:pt>
                <c:pt idx="4">
                  <c:v>4</c:v>
                </c:pt>
                <c:pt idx="5">
                  <c:v>3</c:v>
                </c:pt>
                <c:pt idx="6">
                  <c:v>2</c:v>
                </c:pt>
                <c:pt idx="7">
                  <c:v>1</c:v>
                </c:pt>
              </c:numCache>
            </c:numRef>
          </c:val>
          <c:extLst>
            <c:ext xmlns:c16="http://schemas.microsoft.com/office/drawing/2014/chart" uri="{C3380CC4-5D6E-409C-BE32-E72D297353CC}">
              <c16:uniqueId val="{00000000-ADC5-4046-8156-C3AD48ED84F6}"/>
            </c:ext>
          </c:extLst>
        </c:ser>
        <c:dLbls>
          <c:dLblPos val="outEnd"/>
          <c:showLegendKey val="0"/>
          <c:showVal val="1"/>
          <c:showCatName val="0"/>
          <c:showSerName val="0"/>
          <c:showPercent val="0"/>
          <c:showBubbleSize val="0"/>
        </c:dLbls>
        <c:gapWidth val="182"/>
        <c:axId val="792824848"/>
        <c:axId val="792704024"/>
      </c:barChart>
      <c:catAx>
        <c:axId val="7928248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5">
                    <a:lumMod val="50000"/>
                  </a:schemeClr>
                </a:solidFill>
                <a:latin typeface="+mn-lt"/>
                <a:ea typeface="+mn-ea"/>
                <a:cs typeface="+mn-cs"/>
              </a:defRPr>
            </a:pPr>
            <a:endParaRPr lang="en-US"/>
          </a:p>
        </c:txPr>
        <c:crossAx val="792704024"/>
        <c:crosses val="autoZero"/>
        <c:auto val="1"/>
        <c:lblAlgn val="ctr"/>
        <c:lblOffset val="100"/>
        <c:noMultiLvlLbl val="0"/>
      </c:catAx>
      <c:valAx>
        <c:axId val="792704024"/>
        <c:scaling>
          <c:orientation val="minMax"/>
        </c:scaling>
        <c:delete val="1"/>
        <c:axPos val="b"/>
        <c:numFmt formatCode="General" sourceLinked="1"/>
        <c:majorTickMark val="out"/>
        <c:minorTickMark val="none"/>
        <c:tickLblPos val="nextTo"/>
        <c:crossAx val="792824848"/>
        <c:crosses val="autoZero"/>
        <c:crossBetween val="between"/>
      </c:valAx>
      <c:spPr>
        <a:noFill/>
        <a:ln>
          <a:noFill/>
        </a:ln>
        <a:effectLst/>
      </c:spPr>
    </c:plotArea>
    <c:plotVisOnly val="1"/>
    <c:dispBlanksAs val="gap"/>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accent5">
                    <a:lumMod val="50000"/>
                  </a:schemeClr>
                </a:solidFill>
              </a:rPr>
              <a:t>Best</a:t>
            </a:r>
            <a:r>
              <a:rPr lang="en-US" sz="2800" b="1" baseline="0">
                <a:solidFill>
                  <a:schemeClr val="accent5">
                    <a:lumMod val="50000"/>
                  </a:schemeClr>
                </a:solidFill>
              </a:rPr>
              <a:t> Color Sold</a:t>
            </a:r>
            <a:endParaRPr lang="en-US" sz="2800" b="1">
              <a:solidFill>
                <a:schemeClr val="accent5">
                  <a:lumMod val="50000"/>
                </a:schemeClr>
              </a:solidFill>
            </a:endParaRPr>
          </a:p>
        </c:rich>
      </c:tx>
      <c:layout>
        <c:manualLayout>
          <c:xMode val="edge"/>
          <c:yMode val="edge"/>
          <c:x val="0.32326624676553495"/>
          <c:y val="1.44200636450893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table'!$AV$11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table'!$AU$12:$AU$24</c:f>
              <c:strCache>
                <c:ptCount val="12"/>
                <c:pt idx="0">
                  <c:v>اسود </c:v>
                </c:pt>
                <c:pt idx="1">
                  <c:v>ابيض</c:v>
                </c:pt>
                <c:pt idx="2">
                  <c:v>رمادى</c:v>
                </c:pt>
                <c:pt idx="3">
                  <c:v>ازرق</c:v>
                </c:pt>
                <c:pt idx="4">
                  <c:v>بينك</c:v>
                </c:pt>
                <c:pt idx="5">
                  <c:v>دهبي</c:v>
                </c:pt>
                <c:pt idx="6">
                  <c:v>الوان</c:v>
                </c:pt>
                <c:pt idx="7">
                  <c:v>اسود وبنى</c:v>
                </c:pt>
                <c:pt idx="8">
                  <c:v>بنفسجى</c:v>
                </c:pt>
                <c:pt idx="9">
                  <c:v>ملون</c:v>
                </c:pt>
                <c:pt idx="10">
                  <c:v>نبيتى </c:v>
                </c:pt>
                <c:pt idx="11">
                  <c:v>(blank)</c:v>
                </c:pt>
              </c:strCache>
            </c:strRef>
          </c:cat>
          <c:val>
            <c:numRef>
              <c:f>'pivot table'!$AV$12:$AV$24</c:f>
              <c:numCache>
                <c:formatCode>_(* #,##0_);_(* \(#,##0\);_(* "-"??_);_(@_)</c:formatCode>
                <c:ptCount val="12"/>
                <c:pt idx="0">
                  <c:v>45</c:v>
                </c:pt>
                <c:pt idx="1">
                  <c:v>37</c:v>
                </c:pt>
                <c:pt idx="2">
                  <c:v>8</c:v>
                </c:pt>
                <c:pt idx="3">
                  <c:v>3</c:v>
                </c:pt>
                <c:pt idx="4">
                  <c:v>2</c:v>
                </c:pt>
                <c:pt idx="5">
                  <c:v>2</c:v>
                </c:pt>
                <c:pt idx="6">
                  <c:v>2</c:v>
                </c:pt>
                <c:pt idx="7">
                  <c:v>2</c:v>
                </c:pt>
                <c:pt idx="8">
                  <c:v>2</c:v>
                </c:pt>
                <c:pt idx="9">
                  <c:v>1</c:v>
                </c:pt>
                <c:pt idx="10">
                  <c:v>1</c:v>
                </c:pt>
              </c:numCache>
            </c:numRef>
          </c:val>
          <c:extLst>
            <c:ext xmlns:c16="http://schemas.microsoft.com/office/drawing/2014/chart" uri="{C3380CC4-5D6E-409C-BE32-E72D297353CC}">
              <c16:uniqueId val="{00000000-059E-4B2D-830E-064CF80BC960}"/>
            </c:ext>
          </c:extLst>
        </c:ser>
        <c:dLbls>
          <c:dLblPos val="outEnd"/>
          <c:showLegendKey val="0"/>
          <c:showVal val="1"/>
          <c:showCatName val="0"/>
          <c:showSerName val="0"/>
          <c:showPercent val="0"/>
          <c:showBubbleSize val="0"/>
        </c:dLbls>
        <c:gapWidth val="219"/>
        <c:overlap val="-27"/>
        <c:axId val="829882464"/>
        <c:axId val="829878856"/>
      </c:barChart>
      <c:catAx>
        <c:axId val="82988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accent5">
                    <a:lumMod val="50000"/>
                  </a:schemeClr>
                </a:solidFill>
                <a:latin typeface="+mn-lt"/>
                <a:ea typeface="+mn-ea"/>
                <a:cs typeface="+mn-cs"/>
              </a:defRPr>
            </a:pPr>
            <a:endParaRPr lang="en-US"/>
          </a:p>
        </c:txPr>
        <c:crossAx val="829878856"/>
        <c:crosses val="autoZero"/>
        <c:auto val="1"/>
        <c:lblAlgn val="ctr"/>
        <c:lblOffset val="100"/>
        <c:noMultiLvlLbl val="0"/>
      </c:catAx>
      <c:valAx>
        <c:axId val="829878856"/>
        <c:scaling>
          <c:orientation val="minMax"/>
        </c:scaling>
        <c:delete val="1"/>
        <c:axPos val="l"/>
        <c:numFmt formatCode="_(* #,##0_);_(* \(#,##0\);_(* &quot;-&quot;??_);_(@_)" sourceLinked="1"/>
        <c:majorTickMark val="none"/>
        <c:minorTickMark val="none"/>
        <c:tickLblPos val="nextTo"/>
        <c:crossAx val="829882464"/>
        <c:crosses val="autoZero"/>
        <c:crossBetween val="between"/>
      </c:valAx>
      <c:spPr>
        <a:noFill/>
        <a:ln w="25400">
          <a:noFill/>
        </a:ln>
        <a:effectLst/>
      </c:spPr>
    </c:plotArea>
    <c:plotVisOnly val="1"/>
    <c:dispBlanksAs val="gap"/>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 table!PivotTable11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accent5">
                    <a:lumMod val="50000"/>
                  </a:schemeClr>
                </a:solidFill>
              </a:rPr>
              <a:t>Orders</a:t>
            </a:r>
            <a:r>
              <a:rPr lang="en-US" sz="2400" b="1" baseline="0">
                <a:solidFill>
                  <a:schemeClr val="accent5">
                    <a:lumMod val="50000"/>
                  </a:schemeClr>
                </a:solidFill>
              </a:rPr>
              <a:t> By Area</a:t>
            </a:r>
            <a:endParaRPr lang="en-US" sz="2400" b="1">
              <a:solidFill>
                <a:schemeClr val="accent5">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C00000"/>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28575" cap="rnd">
            <a:solidFill>
              <a:srgbClr val="C00000"/>
            </a:solidFill>
            <a:round/>
          </a:ln>
          <a:effectLst/>
        </c:spPr>
        <c:marker>
          <c:symbol val="none"/>
        </c:marker>
      </c:pivotFmt>
      <c:pivotFmt>
        <c:idx val="4"/>
        <c:spPr>
          <a:ln w="28575" cap="rnd">
            <a:solidFill>
              <a:srgbClr val="C00000"/>
            </a:solidFill>
            <a:round/>
          </a:ln>
          <a:effectLst/>
        </c:spPr>
        <c:marker>
          <c:symbol val="none"/>
        </c:marker>
      </c:pivotFmt>
      <c:pivotFmt>
        <c:idx val="5"/>
      </c:pivotFmt>
      <c:pivotFmt>
        <c:idx val="6"/>
        <c:spPr>
          <a:ln w="28575" cap="rnd">
            <a:solidFill>
              <a:srgbClr val="C00000"/>
            </a:solidFill>
            <a:round/>
          </a:ln>
          <a:effectLst/>
        </c:spPr>
        <c:marker>
          <c:symbol val="none"/>
        </c:marker>
      </c:pivotFmt>
      <c:pivotFmt>
        <c:idx val="7"/>
        <c:spPr>
          <a:ln w="28575" cap="rnd">
            <a:solidFill>
              <a:srgbClr val="C00000"/>
            </a:solidFill>
            <a:round/>
          </a:ln>
          <a:effectLst/>
        </c:spPr>
        <c:marker>
          <c:symbol val="none"/>
        </c:marker>
      </c:pivotFmt>
    </c:pivotFmts>
    <c:plotArea>
      <c:layout/>
      <c:lineChart>
        <c:grouping val="standard"/>
        <c:varyColors val="0"/>
        <c:ser>
          <c:idx val="0"/>
          <c:order val="0"/>
          <c:tx>
            <c:strRef>
              <c:f>'pivot table'!$CR$5</c:f>
              <c:strCache>
                <c:ptCount val="1"/>
                <c:pt idx="0">
                  <c:v>Total</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table'!$CQ$6:$CQ$16</c:f>
              <c:strCache>
                <c:ptCount val="10"/>
                <c:pt idx="0">
                  <c:v>6اكتوبر</c:v>
                </c:pt>
                <c:pt idx="1">
                  <c:v>القاهره الجديده</c:v>
                </c:pt>
                <c:pt idx="2">
                  <c:v>العباسيه </c:v>
                </c:pt>
                <c:pt idx="3">
                  <c:v>المعادي</c:v>
                </c:pt>
                <c:pt idx="4">
                  <c:v>المخزن ابو الغيط</c:v>
                </c:pt>
                <c:pt idx="5">
                  <c:v>الإسكندرية</c:v>
                </c:pt>
                <c:pt idx="6">
                  <c:v>التجمع الخامس</c:v>
                </c:pt>
                <c:pt idx="7">
                  <c:v>القناطر</c:v>
                </c:pt>
                <c:pt idx="8">
                  <c:v>السويس</c:v>
                </c:pt>
                <c:pt idx="9">
                  <c:v>الشروق القاهره</c:v>
                </c:pt>
              </c:strCache>
            </c:strRef>
          </c:cat>
          <c:val>
            <c:numRef>
              <c:f>'pivot table'!$CR$6:$CR$16</c:f>
              <c:numCache>
                <c:formatCode>_(* #,##0_);_(* \(#,##0\);_(* "-"??_);_(@_)</c:formatCode>
                <c:ptCount val="10"/>
                <c:pt idx="0">
                  <c:v>24</c:v>
                </c:pt>
                <c:pt idx="1">
                  <c:v>14</c:v>
                </c:pt>
                <c:pt idx="2">
                  <c:v>8</c:v>
                </c:pt>
                <c:pt idx="3">
                  <c:v>7</c:v>
                </c:pt>
                <c:pt idx="4">
                  <c:v>6</c:v>
                </c:pt>
                <c:pt idx="5">
                  <c:v>5</c:v>
                </c:pt>
                <c:pt idx="6">
                  <c:v>5</c:v>
                </c:pt>
                <c:pt idx="7">
                  <c:v>4</c:v>
                </c:pt>
                <c:pt idx="8">
                  <c:v>4</c:v>
                </c:pt>
                <c:pt idx="9">
                  <c:v>4</c:v>
                </c:pt>
              </c:numCache>
            </c:numRef>
          </c:val>
          <c:smooth val="0"/>
          <c:extLst>
            <c:ext xmlns:c16="http://schemas.microsoft.com/office/drawing/2014/chart" uri="{C3380CC4-5D6E-409C-BE32-E72D297353CC}">
              <c16:uniqueId val="{00000000-A253-43C6-A26D-6DDB385EE5B9}"/>
            </c:ext>
          </c:extLst>
        </c:ser>
        <c:dLbls>
          <c:dLblPos val="t"/>
          <c:showLegendKey val="0"/>
          <c:showVal val="1"/>
          <c:showCatName val="0"/>
          <c:showSerName val="0"/>
          <c:showPercent val="0"/>
          <c:showBubbleSize val="0"/>
        </c:dLbls>
        <c:smooth val="0"/>
        <c:axId val="795186792"/>
        <c:axId val="795193680"/>
      </c:lineChart>
      <c:catAx>
        <c:axId val="795186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5">
                    <a:lumMod val="50000"/>
                  </a:schemeClr>
                </a:solidFill>
                <a:latin typeface="+mn-lt"/>
                <a:ea typeface="+mn-ea"/>
                <a:cs typeface="+mn-cs"/>
              </a:defRPr>
            </a:pPr>
            <a:endParaRPr lang="en-US"/>
          </a:p>
        </c:txPr>
        <c:crossAx val="795193680"/>
        <c:crosses val="autoZero"/>
        <c:auto val="1"/>
        <c:lblAlgn val="ctr"/>
        <c:lblOffset val="100"/>
        <c:noMultiLvlLbl val="0"/>
      </c:catAx>
      <c:valAx>
        <c:axId val="795193680"/>
        <c:scaling>
          <c:orientation val="minMax"/>
        </c:scaling>
        <c:delete val="1"/>
        <c:axPos val="l"/>
        <c:numFmt formatCode="_(* #,##0_);_(* \(#,##0\);_(* &quot;-&quot;??_);_(@_)" sourceLinked="1"/>
        <c:majorTickMark val="none"/>
        <c:minorTickMark val="none"/>
        <c:tickLblPos val="nextTo"/>
        <c:crossAx val="795186792"/>
        <c:crosses val="autoZero"/>
        <c:crossBetween val="between"/>
      </c:valAx>
      <c:spPr>
        <a:noFill/>
        <a:ln w="25400">
          <a:noFill/>
        </a:ln>
        <a:effectLst/>
      </c:spPr>
    </c:plotArea>
    <c:plotVisOnly val="1"/>
    <c:dispBlanksAs val="gap"/>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 table!PivotTable7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5">
                    <a:lumMod val="50000"/>
                  </a:schemeClr>
                </a:solidFill>
              </a:rPr>
              <a:t>On-time</a:t>
            </a:r>
            <a:r>
              <a:rPr lang="en-US" sz="2000" b="1" baseline="0">
                <a:solidFill>
                  <a:schemeClr val="accent5">
                    <a:lumMod val="50000"/>
                  </a:schemeClr>
                </a:solidFill>
              </a:rPr>
              <a:t> Delivery Rate</a:t>
            </a:r>
            <a:endParaRPr lang="en-US" sz="2000" b="1">
              <a:solidFill>
                <a:schemeClr val="accent5">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dLbl>
          <c:idx val="0"/>
          <c:layout>
            <c:manualLayout>
              <c:x val="-0.20000000000000004"/>
              <c:y val="-6.5909521726450856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722222222222222"/>
                  <c:h val="0.10300925925925926"/>
                </c:manualLayout>
              </c15:layout>
            </c:ext>
          </c:extLst>
        </c:dLbl>
      </c:pivotFmt>
      <c:pivotFmt>
        <c:idx val="2"/>
        <c:spPr>
          <a:solidFill>
            <a:srgbClr val="C00000"/>
          </a:solidFill>
          <a:ln w="19050">
            <a:solidFill>
              <a:schemeClr val="lt1"/>
            </a:solidFill>
          </a:ln>
          <a:effectLst/>
        </c:spPr>
        <c:dLbl>
          <c:idx val="0"/>
          <c:layout>
            <c:manualLayout>
              <c:x val="0.13900010936132984"/>
              <c:y val="4.539041994750656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w="19050">
            <a:solidFill>
              <a:schemeClr val="lt1"/>
            </a:solidFill>
          </a:ln>
          <a:effectLst/>
        </c:spPr>
        <c:dLbl>
          <c:idx val="0"/>
          <c:layout>
            <c:manualLayout>
              <c:x val="-0.20000000000000004"/>
              <c:y val="-6.5909521726450856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722222222222222"/>
                  <c:h val="0.10300925925925926"/>
                </c:manualLayout>
              </c15:layout>
            </c:ext>
          </c:extLst>
        </c:dLbl>
      </c:pivotFmt>
      <c:pivotFmt>
        <c:idx val="6"/>
        <c:spPr>
          <a:solidFill>
            <a:srgbClr val="C00000"/>
          </a:solidFill>
          <a:ln w="19050">
            <a:solidFill>
              <a:schemeClr val="lt1"/>
            </a:solidFill>
          </a:ln>
          <a:effectLst/>
        </c:spPr>
        <c:dLbl>
          <c:idx val="0"/>
          <c:layout>
            <c:manualLayout>
              <c:x val="0.13900010936132984"/>
              <c:y val="4.539041994750656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dLbl>
          <c:idx val="0"/>
          <c:layout>
            <c:manualLayout>
              <c:x val="-0.20000000000000004"/>
              <c:y val="-6.590952172645085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722222222222222"/>
                  <c:h val="0.10300925925925926"/>
                </c:manualLayout>
              </c15:layout>
            </c:ext>
          </c:extLst>
        </c:dLbl>
      </c:pivotFmt>
      <c:pivotFmt>
        <c:idx val="10"/>
        <c:spPr>
          <a:solidFill>
            <a:srgbClr val="C00000"/>
          </a:solidFill>
          <a:ln w="19050">
            <a:solidFill>
              <a:schemeClr val="lt1"/>
            </a:solidFill>
          </a:ln>
          <a:effectLst/>
        </c:spPr>
        <c:dLbl>
          <c:idx val="0"/>
          <c:layout>
            <c:manualLayout>
              <c:x val="0.13900010936132984"/>
              <c:y val="4.53904199475065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table'!$BE$9</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4034-445D-BEBA-84B067DA4481}"/>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4034-445D-BEBA-84B067DA44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34-445D-BEBA-84B067DA4481}"/>
              </c:ext>
            </c:extLst>
          </c:dPt>
          <c:dLbls>
            <c:dLbl>
              <c:idx val="0"/>
              <c:layout>
                <c:manualLayout>
                  <c:x val="-0.20000000000000004"/>
                  <c:y val="-6.590952172645085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722222222222222"/>
                      <c:h val="0.10300925925925926"/>
                    </c:manualLayout>
                  </c15:layout>
                </c:ext>
                <c:ext xmlns:c16="http://schemas.microsoft.com/office/drawing/2014/chart" uri="{C3380CC4-5D6E-409C-BE32-E72D297353CC}">
                  <c16:uniqueId val="{00000001-4034-445D-BEBA-84B067DA4481}"/>
                </c:ext>
              </c:extLst>
            </c:dLbl>
            <c:dLbl>
              <c:idx val="1"/>
              <c:layout>
                <c:manualLayout>
                  <c:x val="0.13900010936132984"/>
                  <c:y val="4.5390419947506561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4034-445D-BEBA-84B067DA4481}"/>
                </c:ext>
              </c:extLst>
            </c:dLbl>
            <c:dLbl>
              <c:idx val="2"/>
              <c:delete val="1"/>
              <c:extLst>
                <c:ext xmlns:c15="http://schemas.microsoft.com/office/drawing/2012/chart" uri="{CE6537A1-D6FC-4f65-9D91-7224C49458BB}"/>
                <c:ext xmlns:c16="http://schemas.microsoft.com/office/drawing/2014/chart" uri="{C3380CC4-5D6E-409C-BE32-E72D297353CC}">
                  <c16:uniqueId val="{00000005-4034-445D-BEBA-84B067DA448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table'!$BD$10:$BD$13</c:f>
              <c:strCache>
                <c:ptCount val="3"/>
                <c:pt idx="0">
                  <c:v>في الموعد</c:v>
                </c:pt>
                <c:pt idx="1">
                  <c:v>متاخر</c:v>
                </c:pt>
                <c:pt idx="2">
                  <c:v>(blank)</c:v>
                </c:pt>
              </c:strCache>
            </c:strRef>
          </c:cat>
          <c:val>
            <c:numRef>
              <c:f>'pivot table'!$BE$10:$BE$13</c:f>
              <c:numCache>
                <c:formatCode>0.00%</c:formatCode>
                <c:ptCount val="3"/>
                <c:pt idx="0">
                  <c:v>0.60606060606060608</c:v>
                </c:pt>
                <c:pt idx="1">
                  <c:v>0.39393939393939392</c:v>
                </c:pt>
                <c:pt idx="2">
                  <c:v>0</c:v>
                </c:pt>
              </c:numCache>
            </c:numRef>
          </c:val>
          <c:extLst>
            <c:ext xmlns:c16="http://schemas.microsoft.com/office/drawing/2014/chart" uri="{C3380CC4-5D6E-409C-BE32-E72D297353CC}">
              <c16:uniqueId val="{00000006-4034-445D-BEBA-84B067DA44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2"/>
        <c:delete val="1"/>
      </c:legendEntry>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[MISUO.xlsx]pivot table!PivotTable8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5">
                    <a:lumMod val="50000"/>
                  </a:schemeClr>
                </a:solidFill>
              </a:rPr>
              <a:t>Delivery</a:t>
            </a:r>
            <a:r>
              <a:rPr lang="en-US" sz="2000" b="1" baseline="0">
                <a:solidFill>
                  <a:schemeClr val="accent5">
                    <a:lumMod val="50000"/>
                  </a:schemeClr>
                </a:solidFill>
              </a:rPr>
              <a:t> Status Breakdown</a:t>
            </a:r>
            <a:endParaRPr lang="en-US" sz="2000" b="1">
              <a:solidFill>
                <a:schemeClr val="accent5">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002060"/>
          </a:solidFill>
          <a:ln w="19050">
            <a:solidFill>
              <a:schemeClr val="lt1"/>
            </a:solidFill>
          </a:ln>
          <a:effectLst/>
        </c:spPr>
      </c:pivotFmt>
      <c:pivotFmt>
        <c:idx val="3"/>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w="19050">
            <a:solidFill>
              <a:schemeClr val="lt1"/>
            </a:solidFill>
          </a:ln>
          <a:effectLst/>
        </c:spPr>
      </c:pivotFmt>
      <c:pivotFmt>
        <c:idx val="5"/>
        <c:spPr>
          <a:solidFill>
            <a:srgbClr val="C00000"/>
          </a:solidFill>
          <a:ln w="19050">
            <a:solidFill>
              <a:schemeClr val="lt1"/>
            </a:solidFill>
          </a:ln>
          <a:effectLst/>
        </c:spPr>
      </c:pivotFmt>
      <c:pivotFmt>
        <c:idx val="6"/>
        <c:spPr>
          <a:solidFill>
            <a:srgbClr val="C00000"/>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5">
              <a:lumMod val="50000"/>
            </a:schemeClr>
          </a:solidFill>
          <a:ln w="19050">
            <a:solidFill>
              <a:schemeClr val="lt1"/>
            </a:solidFill>
          </a:ln>
          <a:effectLst/>
        </c:spPr>
      </c:pivotFmt>
      <c:pivotFmt>
        <c:idx val="8"/>
        <c:spPr>
          <a:solidFill>
            <a:srgbClr val="C00000"/>
          </a:solidFill>
          <a:ln w="19050">
            <a:solidFill>
              <a:schemeClr val="lt1"/>
            </a:solidFill>
          </a:ln>
          <a:effectLst/>
        </c:spPr>
      </c:pivotFmt>
    </c:pivotFmts>
    <c:plotArea>
      <c:layout/>
      <c:pieChart>
        <c:varyColors val="1"/>
        <c:ser>
          <c:idx val="0"/>
          <c:order val="0"/>
          <c:tx>
            <c:strRef>
              <c:f>'pivot table'!$BP$12</c:f>
              <c:strCache>
                <c:ptCount val="1"/>
                <c:pt idx="0">
                  <c:v>Total</c:v>
                </c:pt>
              </c:strCache>
            </c:strRef>
          </c:tx>
          <c:spPr>
            <a:solidFill>
              <a:srgbClr val="C00000"/>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7239-4705-A953-8DB0F0211810}"/>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7239-4705-A953-8DB0F021181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table'!$BO$13:$BO$15</c:f>
              <c:strCache>
                <c:ptCount val="2"/>
                <c:pt idx="0">
                  <c:v>تم التسليم</c:v>
                </c:pt>
                <c:pt idx="1">
                  <c:v>لاغي</c:v>
                </c:pt>
              </c:strCache>
            </c:strRef>
          </c:cat>
          <c:val>
            <c:numRef>
              <c:f>'pivot table'!$BP$13:$BP$15</c:f>
              <c:numCache>
                <c:formatCode>0.00%</c:formatCode>
                <c:ptCount val="2"/>
                <c:pt idx="0">
                  <c:v>0.83606557377049184</c:v>
                </c:pt>
                <c:pt idx="1">
                  <c:v>0.16393442622950818</c:v>
                </c:pt>
              </c:numCache>
            </c:numRef>
          </c:val>
          <c:extLst>
            <c:ext xmlns:c16="http://schemas.microsoft.com/office/drawing/2014/chart" uri="{C3380CC4-5D6E-409C-BE32-E72D297353CC}">
              <c16:uniqueId val="{00000004-7239-4705-A953-8DB0F02118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jpe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54</xdr:col>
      <xdr:colOff>464820</xdr:colOff>
      <xdr:row>20</xdr:row>
      <xdr:rowOff>140970</xdr:rowOff>
    </xdr:from>
    <xdr:to>
      <xdr:col>60</xdr:col>
      <xdr:colOff>60960</xdr:colOff>
      <xdr:row>35</xdr:row>
      <xdr:rowOff>140970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213360</xdr:colOff>
      <xdr:row>17</xdr:row>
      <xdr:rowOff>11430</xdr:rowOff>
    </xdr:from>
    <xdr:to>
      <xdr:col>43</xdr:col>
      <xdr:colOff>327660</xdr:colOff>
      <xdr:row>32</xdr:row>
      <xdr:rowOff>11430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518160</xdr:colOff>
      <xdr:row>19</xdr:row>
      <xdr:rowOff>140970</xdr:rowOff>
    </xdr:from>
    <xdr:to>
      <xdr:col>34</xdr:col>
      <xdr:colOff>243840</xdr:colOff>
      <xdr:row>34</xdr:row>
      <xdr:rowOff>140970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335280</xdr:colOff>
      <xdr:row>24</xdr:row>
      <xdr:rowOff>87630</xdr:rowOff>
    </xdr:from>
    <xdr:to>
      <xdr:col>51</xdr:col>
      <xdr:colOff>434340</xdr:colOff>
      <xdr:row>39</xdr:row>
      <xdr:rowOff>87630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80</xdr:col>
      <xdr:colOff>320040</xdr:colOff>
      <xdr:row>30</xdr:row>
      <xdr:rowOff>171450</xdr:rowOff>
    </xdr:from>
    <xdr:to>
      <xdr:col>86</xdr:col>
      <xdr:colOff>601980</xdr:colOff>
      <xdr:row>45</xdr:row>
      <xdr:rowOff>171450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72</xdr:col>
      <xdr:colOff>160020</xdr:colOff>
      <xdr:row>8</xdr:row>
      <xdr:rowOff>7620</xdr:rowOff>
    </xdr:from>
    <xdr:to>
      <xdr:col>75</xdr:col>
      <xdr:colOff>160020</xdr:colOff>
      <xdr:row>21</xdr:row>
      <xdr:rowOff>97155</xdr:rowOff>
    </xdr:to>
    <mc:AlternateContent xmlns:mc="http://schemas.openxmlformats.org/markup-compatibility/2006" xmlns:a14="http://schemas.microsoft.com/office/drawing/2010/main">
      <mc:Choice Requires="a14">
        <xdr:graphicFrame macro="">
          <xdr:nvGraphicFramePr>
            <xdr:cNvPr id="15" name="نوع العميل 1"/>
            <xdr:cNvGraphicFramePr/>
          </xdr:nvGraphicFramePr>
          <xdr:xfrm>
            <a:off x="0" y="0"/>
            <a:ext cx="0" cy="0"/>
          </xdr:xfrm>
          <a:graphic>
            <a:graphicData uri="http://schemas.microsoft.com/office/drawing/2010/slicer">
              <sle:slicer xmlns:sle="http://schemas.microsoft.com/office/drawing/2010/slicer" name="نوع العميل 1"/>
            </a:graphicData>
          </a:graphic>
        </xdr:graphicFrame>
      </mc:Choice>
      <mc:Fallback xmlns="">
        <xdr:sp macro="" textlink="">
          <xdr:nvSpPr>
            <xdr:cNvPr id="0" name=""/>
            <xdr:cNvSpPr>
              <a:spLocks noTextEdit="1"/>
            </xdr:cNvSpPr>
          </xdr:nvSpPr>
          <xdr:spPr>
            <a:xfrm>
              <a:off x="52303680" y="1874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90</xdr:col>
      <xdr:colOff>327660</xdr:colOff>
      <xdr:row>12</xdr:row>
      <xdr:rowOff>99060</xdr:rowOff>
    </xdr:from>
    <xdr:to>
      <xdr:col>93</xdr:col>
      <xdr:colOff>327660</xdr:colOff>
      <xdr:row>26</xdr:row>
      <xdr:rowOff>5715</xdr:rowOff>
    </xdr:to>
    <mc:AlternateContent xmlns:mc="http://schemas.openxmlformats.org/markup-compatibility/2006" xmlns:a14="http://schemas.microsoft.com/office/drawing/2010/main">
      <mc:Choice Requires="a14">
        <xdr:graphicFrame macro="">
          <xdr:nvGraphicFramePr>
            <xdr:cNvPr id="19" name="حاله التسليم في الموعد"/>
            <xdr:cNvGraphicFramePr/>
          </xdr:nvGraphicFramePr>
          <xdr:xfrm>
            <a:off x="0" y="0"/>
            <a:ext cx="0" cy="0"/>
          </xdr:xfrm>
          <a:graphic>
            <a:graphicData uri="http://schemas.microsoft.com/office/drawing/2010/slicer">
              <sle:slicer xmlns:sle="http://schemas.microsoft.com/office/drawing/2010/slicer" name="حاله التسليم في الموعد"/>
            </a:graphicData>
          </a:graphic>
        </xdr:graphicFrame>
      </mc:Choice>
      <mc:Fallback xmlns="">
        <xdr:sp macro="" textlink="">
          <xdr:nvSpPr>
            <xdr:cNvPr id="0" name=""/>
            <xdr:cNvSpPr>
              <a:spLocks noTextEdit="1"/>
            </xdr:cNvSpPr>
          </xdr:nvSpPr>
          <xdr:spPr>
            <a:xfrm>
              <a:off x="65021460" y="2697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65</xdr:col>
      <xdr:colOff>22860</xdr:colOff>
      <xdr:row>19</xdr:row>
      <xdr:rowOff>41910</xdr:rowOff>
    </xdr:from>
    <xdr:to>
      <xdr:col>70</xdr:col>
      <xdr:colOff>571500</xdr:colOff>
      <xdr:row>34</xdr:row>
      <xdr:rowOff>41910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4</xdr:row>
      <xdr:rowOff>0</xdr:rowOff>
    </xdr:from>
    <xdr:to>
      <xdr:col>3</xdr:col>
      <xdr:colOff>502920</xdr:colOff>
      <xdr:row>8</xdr:row>
      <xdr:rowOff>53340</xdr:rowOff>
    </xdr:to>
    <xdr:sp macro="" textlink="">
      <xdr:nvSpPr>
        <xdr:cNvPr id="2" name="Rounded Rectangle 1"/>
        <xdr:cNvSpPr/>
      </xdr:nvSpPr>
      <xdr:spPr>
        <a:xfrm>
          <a:off x="76200" y="746449"/>
          <a:ext cx="2246189" cy="799789"/>
        </a:xfrm>
        <a:prstGeom prst="round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lvl="0" algn="l"/>
          <a:r>
            <a:rPr lang="en-US" sz="2400" b="1">
              <a:solidFill>
                <a:srgbClr val="C00000"/>
              </a:solidFill>
            </a:rPr>
            <a:t>    Total Sales</a:t>
          </a:r>
        </a:p>
      </xdr:txBody>
    </xdr:sp>
    <xdr:clientData/>
  </xdr:twoCellAnchor>
  <xdr:twoCellAnchor>
    <xdr:from>
      <xdr:col>4</xdr:col>
      <xdr:colOff>304800</xdr:colOff>
      <xdr:row>3</xdr:row>
      <xdr:rowOff>163871</xdr:rowOff>
    </xdr:from>
    <xdr:to>
      <xdr:col>8</xdr:col>
      <xdr:colOff>137160</xdr:colOff>
      <xdr:row>8</xdr:row>
      <xdr:rowOff>60960</xdr:rowOff>
    </xdr:to>
    <xdr:sp macro="" textlink="">
      <xdr:nvSpPr>
        <xdr:cNvPr id="3" name="Rounded Rectangle 2"/>
        <xdr:cNvSpPr/>
      </xdr:nvSpPr>
      <xdr:spPr>
        <a:xfrm>
          <a:off x="2730090" y="704645"/>
          <a:ext cx="2257651" cy="798380"/>
        </a:xfrm>
        <a:prstGeom prst="round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400" b="1">
              <a:solidFill>
                <a:srgbClr val="C00000"/>
              </a:solidFill>
              <a:latin typeface="+mn-lt"/>
              <a:ea typeface="+mn-ea"/>
              <a:cs typeface="+mn-cs"/>
            </a:rPr>
            <a:t>   Total</a:t>
          </a:r>
          <a:r>
            <a:rPr lang="en-US" sz="1100"/>
            <a:t> </a:t>
          </a:r>
          <a:r>
            <a:rPr lang="en-US" sz="2400" b="1">
              <a:solidFill>
                <a:srgbClr val="C00000"/>
              </a:solidFill>
              <a:latin typeface="+mn-lt"/>
              <a:ea typeface="+mn-ea"/>
              <a:cs typeface="+mn-cs"/>
            </a:rPr>
            <a:t>Orders</a:t>
          </a:r>
        </a:p>
      </xdr:txBody>
    </xdr:sp>
    <xdr:clientData/>
  </xdr:twoCellAnchor>
  <xdr:twoCellAnchor>
    <xdr:from>
      <xdr:col>8</xdr:col>
      <xdr:colOff>475320</xdr:colOff>
      <xdr:row>4</xdr:row>
      <xdr:rowOff>0</xdr:rowOff>
    </xdr:from>
    <xdr:to>
      <xdr:col>12</xdr:col>
      <xdr:colOff>504245</xdr:colOff>
      <xdr:row>8</xdr:row>
      <xdr:rowOff>53340</xdr:rowOff>
    </xdr:to>
    <xdr:sp macro="" textlink="">
      <xdr:nvSpPr>
        <xdr:cNvPr id="4" name="Rounded Rectangle 3"/>
        <xdr:cNvSpPr/>
      </xdr:nvSpPr>
      <xdr:spPr>
        <a:xfrm>
          <a:off x="5378624" y="728870"/>
          <a:ext cx="2480578" cy="782209"/>
        </a:xfrm>
        <a:prstGeom prst="round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400" b="1">
              <a:solidFill>
                <a:srgbClr val="C00000"/>
              </a:solidFill>
            </a:rPr>
            <a:t>AVG.Selling</a:t>
          </a:r>
          <a:r>
            <a:rPr lang="en-US" sz="2400" b="1" baseline="0">
              <a:solidFill>
                <a:srgbClr val="C00000"/>
              </a:solidFill>
            </a:rPr>
            <a:t> price</a:t>
          </a:r>
        </a:p>
      </xdr:txBody>
    </xdr:sp>
    <xdr:clientData/>
  </xdr:twoCellAnchor>
  <xdr:twoCellAnchor>
    <xdr:from>
      <xdr:col>0</xdr:col>
      <xdr:colOff>53650</xdr:colOff>
      <xdr:row>8</xdr:row>
      <xdr:rowOff>178214</xdr:rowOff>
    </xdr:from>
    <xdr:to>
      <xdr:col>7</xdr:col>
      <xdr:colOff>521804</xdr:colOff>
      <xdr:row>20</xdr:row>
      <xdr:rowOff>0</xdr:rowOff>
    </xdr:to>
    <xdr:sp macro="" textlink="">
      <xdr:nvSpPr>
        <xdr:cNvPr id="6" name="Rounded Rectangle 5"/>
        <xdr:cNvSpPr/>
      </xdr:nvSpPr>
      <xdr:spPr>
        <a:xfrm>
          <a:off x="53650" y="1635953"/>
          <a:ext cx="4758545" cy="20083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273327</xdr:colOff>
      <xdr:row>4</xdr:row>
      <xdr:rowOff>140805</xdr:rowOff>
    </xdr:from>
    <xdr:to>
      <xdr:col>25</xdr:col>
      <xdr:colOff>8616</xdr:colOff>
      <xdr:row>18</xdr:row>
      <xdr:rowOff>167972</xdr:rowOff>
    </xdr:to>
    <xdr:sp macro="" textlink="">
      <xdr:nvSpPr>
        <xdr:cNvPr id="7" name="Rounded Rectangle 6"/>
        <xdr:cNvSpPr/>
      </xdr:nvSpPr>
      <xdr:spPr>
        <a:xfrm>
          <a:off x="8854110" y="869675"/>
          <a:ext cx="6477332" cy="257821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9</xdr:row>
      <xdr:rowOff>11974</xdr:rowOff>
    </xdr:from>
    <xdr:to>
      <xdr:col>13</xdr:col>
      <xdr:colOff>45720</xdr:colOff>
      <xdr:row>18</xdr:row>
      <xdr:rowOff>107146</xdr:rowOff>
    </xdr:to>
    <xdr:sp macro="" textlink="">
      <xdr:nvSpPr>
        <xdr:cNvPr id="8" name="Rounded Rectangle 7"/>
        <xdr:cNvSpPr/>
      </xdr:nvSpPr>
      <xdr:spPr>
        <a:xfrm>
          <a:off x="4903304" y="1651931"/>
          <a:ext cx="3110286" cy="1735128"/>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2060"/>
            </a:solidFill>
          </a:endParaRPr>
        </a:p>
      </xdr:txBody>
    </xdr:sp>
    <xdr:clientData/>
  </xdr:twoCellAnchor>
  <xdr:twoCellAnchor>
    <xdr:from>
      <xdr:col>14</xdr:col>
      <xdr:colOff>248478</xdr:colOff>
      <xdr:row>19</xdr:row>
      <xdr:rowOff>57980</xdr:rowOff>
    </xdr:from>
    <xdr:to>
      <xdr:col>25</xdr:col>
      <xdr:colOff>32138</xdr:colOff>
      <xdr:row>31</xdr:row>
      <xdr:rowOff>157370</xdr:rowOff>
    </xdr:to>
    <xdr:sp macro="" textlink="">
      <xdr:nvSpPr>
        <xdr:cNvPr id="9" name="Rounded Rectangle 8"/>
        <xdr:cNvSpPr/>
      </xdr:nvSpPr>
      <xdr:spPr>
        <a:xfrm>
          <a:off x="8829261" y="3520110"/>
          <a:ext cx="6525703" cy="228599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49695</xdr:colOff>
      <xdr:row>20</xdr:row>
      <xdr:rowOff>91109</xdr:rowOff>
    </xdr:from>
    <xdr:to>
      <xdr:col>7</xdr:col>
      <xdr:colOff>563218</xdr:colOff>
      <xdr:row>31</xdr:row>
      <xdr:rowOff>132521</xdr:rowOff>
    </xdr:to>
    <xdr:sp macro="" textlink="">
      <xdr:nvSpPr>
        <xdr:cNvPr id="10" name="Rounded Rectangle 9"/>
        <xdr:cNvSpPr/>
      </xdr:nvSpPr>
      <xdr:spPr>
        <a:xfrm>
          <a:off x="49695" y="3735457"/>
          <a:ext cx="4803914" cy="204580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41414</xdr:colOff>
      <xdr:row>21</xdr:row>
      <xdr:rowOff>16565</xdr:rowOff>
    </xdr:from>
    <xdr:to>
      <xdr:col>14</xdr:col>
      <xdr:colOff>132522</xdr:colOff>
      <xdr:row>31</xdr:row>
      <xdr:rowOff>149086</xdr:rowOff>
    </xdr:to>
    <xdr:sp macro="" textlink="">
      <xdr:nvSpPr>
        <xdr:cNvPr id="11" name="Rounded Rectangle 10"/>
        <xdr:cNvSpPr/>
      </xdr:nvSpPr>
      <xdr:spPr>
        <a:xfrm>
          <a:off x="4944718" y="3843130"/>
          <a:ext cx="3768587" cy="19546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66262</xdr:colOff>
      <xdr:row>0</xdr:row>
      <xdr:rowOff>132184</xdr:rowOff>
    </xdr:from>
    <xdr:to>
      <xdr:col>14</xdr:col>
      <xdr:colOff>256761</xdr:colOff>
      <xdr:row>3</xdr:row>
      <xdr:rowOff>77755</xdr:rowOff>
    </xdr:to>
    <xdr:sp macro="" textlink="">
      <xdr:nvSpPr>
        <xdr:cNvPr id="14" name="Rounded Rectangle 13"/>
        <xdr:cNvSpPr/>
      </xdr:nvSpPr>
      <xdr:spPr>
        <a:xfrm>
          <a:off x="66262" y="132184"/>
          <a:ext cx="8771282" cy="492223"/>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bg1"/>
              </a:solidFill>
            </a:rPr>
            <a:t>MISUO</a:t>
          </a:r>
          <a:r>
            <a:rPr lang="en-US" sz="3200" b="1" baseline="0">
              <a:solidFill>
                <a:schemeClr val="bg1"/>
              </a:solidFill>
            </a:rPr>
            <a:t> Sales Dashboard</a:t>
          </a:r>
          <a:endParaRPr lang="en-US" sz="3200" b="1">
            <a:solidFill>
              <a:schemeClr val="bg1"/>
            </a:solidFill>
          </a:endParaRPr>
        </a:p>
      </xdr:txBody>
    </xdr:sp>
    <xdr:clientData/>
  </xdr:twoCellAnchor>
  <xdr:twoCellAnchor>
    <xdr:from>
      <xdr:col>0</xdr:col>
      <xdr:colOff>365449</xdr:colOff>
      <xdr:row>6</xdr:row>
      <xdr:rowOff>15551</xdr:rowOff>
    </xdr:from>
    <xdr:to>
      <xdr:col>3</xdr:col>
      <xdr:colOff>194388</xdr:colOff>
      <xdr:row>8</xdr:row>
      <xdr:rowOff>15551</xdr:rowOff>
    </xdr:to>
    <xdr:sp macro="" textlink="'pivot table'!E14">
      <xdr:nvSpPr>
        <xdr:cNvPr id="16" name="TextBox 15"/>
        <xdr:cNvSpPr txBox="1"/>
      </xdr:nvSpPr>
      <xdr:spPr>
        <a:xfrm>
          <a:off x="365449" y="1135224"/>
          <a:ext cx="1648408" cy="3732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748799-8B68-4F3C-BCA1-447D6A339058}" type="TxLink">
            <a:rPr lang="en-US" sz="2400" b="1" i="0" u="none" strike="noStrike">
              <a:solidFill>
                <a:schemeClr val="tx2"/>
              </a:solidFill>
              <a:latin typeface="Calibri"/>
              <a:ea typeface="Calibri"/>
              <a:cs typeface="Calibri"/>
            </a:rPr>
            <a:pPr marL="0" indent="0"/>
            <a:t> 1,244,212 </a:t>
          </a:fld>
          <a:endParaRPr lang="en-US" sz="2400" b="1" i="0" u="none" strike="noStrike">
            <a:solidFill>
              <a:schemeClr val="tx2"/>
            </a:solidFill>
            <a:latin typeface="Calibri"/>
            <a:ea typeface="Calibri"/>
            <a:cs typeface="Calibri"/>
          </a:endParaRPr>
        </a:p>
      </xdr:txBody>
    </xdr:sp>
    <xdr:clientData/>
  </xdr:twoCellAnchor>
  <xdr:oneCellAnchor>
    <xdr:from>
      <xdr:col>7</xdr:col>
      <xdr:colOff>272142</xdr:colOff>
      <xdr:row>6</xdr:row>
      <xdr:rowOff>31103</xdr:rowOff>
    </xdr:from>
    <xdr:ext cx="184731" cy="264560"/>
    <xdr:sp macro="" textlink="">
      <xdr:nvSpPr>
        <xdr:cNvPr id="18" name="TextBox 17"/>
        <xdr:cNvSpPr txBox="1"/>
      </xdr:nvSpPr>
      <xdr:spPr>
        <a:xfrm>
          <a:off x="4517571" y="11507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419461</xdr:colOff>
      <xdr:row>6</xdr:row>
      <xdr:rowOff>15970</xdr:rowOff>
    </xdr:from>
    <xdr:to>
      <xdr:col>8</xdr:col>
      <xdr:colOff>69564</xdr:colOff>
      <xdr:row>7</xdr:row>
      <xdr:rowOff>163705</xdr:rowOff>
    </xdr:to>
    <xdr:sp macro="" textlink="'pivot table'!L17">
      <xdr:nvSpPr>
        <xdr:cNvPr id="19" name="TextBox 18"/>
        <xdr:cNvSpPr txBox="1"/>
      </xdr:nvSpPr>
      <xdr:spPr>
        <a:xfrm>
          <a:off x="3451074" y="1097518"/>
          <a:ext cx="1469071" cy="3279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B20DFB-5F93-457B-8CD5-8C36C9BFCB68}" type="TxLink">
            <a:rPr lang="en-US" sz="2400" b="1" i="0" u="none" strike="noStrike">
              <a:solidFill>
                <a:schemeClr val="tx2"/>
              </a:solidFill>
              <a:latin typeface="Calibri"/>
              <a:ea typeface="Calibri"/>
              <a:cs typeface="Calibri"/>
            </a:rPr>
            <a:pPr/>
            <a:t>122</a:t>
          </a:fld>
          <a:endParaRPr lang="en-US" sz="2400" b="1">
            <a:solidFill>
              <a:schemeClr val="tx2"/>
            </a:solidFill>
          </a:endParaRPr>
        </a:p>
      </xdr:txBody>
    </xdr:sp>
    <xdr:clientData/>
  </xdr:twoCellAnchor>
  <xdr:oneCellAnchor>
    <xdr:from>
      <xdr:col>9</xdr:col>
      <xdr:colOff>217715</xdr:colOff>
      <xdr:row>5</xdr:row>
      <xdr:rowOff>163285</xdr:rowOff>
    </xdr:from>
    <xdr:ext cx="1803918" cy="468013"/>
    <xdr:sp macro="" textlink="'pivot table'!S16">
      <xdr:nvSpPr>
        <xdr:cNvPr id="21" name="TextBox 20"/>
        <xdr:cNvSpPr txBox="1"/>
      </xdr:nvSpPr>
      <xdr:spPr>
        <a:xfrm>
          <a:off x="5676123" y="1096346"/>
          <a:ext cx="1803918" cy="46801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A21BFF4-E980-4BBD-9F60-5430A6E411C0}" type="TxLink">
            <a:rPr lang="en-US" sz="2400" b="1" i="0" u="none" strike="noStrike">
              <a:solidFill>
                <a:schemeClr val="accent1">
                  <a:lumMod val="50000"/>
                </a:schemeClr>
              </a:solidFill>
              <a:latin typeface="Calibri"/>
              <a:ea typeface="Calibri"/>
              <a:cs typeface="Calibri"/>
            </a:rPr>
            <a:pPr/>
            <a:t> 10,282.743 </a:t>
          </a:fld>
          <a:endParaRPr lang="en-US" sz="2400" b="1">
            <a:solidFill>
              <a:schemeClr val="accent1">
                <a:lumMod val="50000"/>
              </a:schemeClr>
            </a:solidFill>
          </a:endParaRPr>
        </a:p>
      </xdr:txBody>
    </xdr:sp>
    <xdr:clientData/>
  </xdr:oneCellAnchor>
  <xdr:twoCellAnchor editAs="oneCell">
    <xdr:from>
      <xdr:col>13</xdr:col>
      <xdr:colOff>150948</xdr:colOff>
      <xdr:row>1</xdr:row>
      <xdr:rowOff>1</xdr:rowOff>
    </xdr:from>
    <xdr:to>
      <xdr:col>14</xdr:col>
      <xdr:colOff>174274</xdr:colOff>
      <xdr:row>3</xdr:row>
      <xdr:rowOff>46653</xdr:rowOff>
    </xdr:to>
    <xdr:pic>
      <xdr:nvPicPr>
        <xdr:cNvPr id="23" name="Picture 2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18818" y="182218"/>
          <a:ext cx="636239" cy="411087"/>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oneCellAnchor>
    <xdr:from>
      <xdr:col>13</xdr:col>
      <xdr:colOff>149423</xdr:colOff>
      <xdr:row>1</xdr:row>
      <xdr:rowOff>62205</xdr:rowOff>
    </xdr:from>
    <xdr:ext cx="704295" cy="374141"/>
    <xdr:sp macro="" textlink="">
      <xdr:nvSpPr>
        <xdr:cNvPr id="24" name="TextBox 23"/>
        <xdr:cNvSpPr txBox="1"/>
      </xdr:nvSpPr>
      <xdr:spPr>
        <a:xfrm>
          <a:off x="8117293" y="244422"/>
          <a:ext cx="70429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ar-EG" sz="1800" b="1">
              <a:solidFill>
                <a:srgbClr val="002060"/>
              </a:solidFill>
            </a:rPr>
            <a:t>مسيو</a:t>
          </a:r>
          <a:endParaRPr lang="en-US" sz="1800" b="1">
            <a:solidFill>
              <a:srgbClr val="002060"/>
            </a:solidFill>
          </a:endParaRPr>
        </a:p>
      </xdr:txBody>
    </xdr:sp>
    <xdr:clientData/>
  </xdr:oneCellAnchor>
  <xdr:twoCellAnchor>
    <xdr:from>
      <xdr:col>0</xdr:col>
      <xdr:colOff>0</xdr:colOff>
      <xdr:row>8</xdr:row>
      <xdr:rowOff>132522</xdr:rowOff>
    </xdr:from>
    <xdr:to>
      <xdr:col>7</xdr:col>
      <xdr:colOff>571500</xdr:colOff>
      <xdr:row>20</xdr:row>
      <xdr:rowOff>33131</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16565</xdr:colOff>
      <xdr:row>20</xdr:row>
      <xdr:rowOff>66261</xdr:rowOff>
    </xdr:from>
    <xdr:to>
      <xdr:col>7</xdr:col>
      <xdr:colOff>571500</xdr:colOff>
      <xdr:row>31</xdr:row>
      <xdr:rowOff>149087</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256760</xdr:colOff>
      <xdr:row>4</xdr:row>
      <xdr:rowOff>91109</xdr:rowOff>
    </xdr:from>
    <xdr:to>
      <xdr:col>25</xdr:col>
      <xdr:colOff>107675</xdr:colOff>
      <xdr:row>19</xdr:row>
      <xdr:rowOff>1</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430696</xdr:colOff>
      <xdr:row>0</xdr:row>
      <xdr:rowOff>24848</xdr:rowOff>
    </xdr:from>
    <xdr:to>
      <xdr:col>25</xdr:col>
      <xdr:colOff>64604</xdr:colOff>
      <xdr:row>4</xdr:row>
      <xdr:rowOff>74543</xdr:rowOff>
    </xdr:to>
    <mc:AlternateContent xmlns:mc="http://schemas.openxmlformats.org/markup-compatibility/2006" xmlns:a14="http://schemas.microsoft.com/office/drawing/2010/main">
      <mc:Choice Requires="a14">
        <xdr:graphicFrame macro="">
          <xdr:nvGraphicFramePr>
            <xdr:cNvPr id="34" name="نوع العميل 2"/>
            <xdr:cNvGraphicFramePr/>
          </xdr:nvGraphicFramePr>
          <xdr:xfrm>
            <a:off x="0" y="0"/>
            <a:ext cx="0" cy="0"/>
          </xdr:xfrm>
          <a:graphic>
            <a:graphicData uri="http://schemas.microsoft.com/office/drawing/2010/slicer">
              <sle:slicer xmlns:sle="http://schemas.microsoft.com/office/drawing/2010/slicer" name="نوع العميل 2"/>
            </a:graphicData>
          </a:graphic>
        </xdr:graphicFrame>
      </mc:Choice>
      <mc:Fallback xmlns="">
        <xdr:sp macro="" textlink="">
          <xdr:nvSpPr>
            <xdr:cNvPr id="0" name=""/>
            <xdr:cNvSpPr>
              <a:spLocks noTextEdit="1"/>
            </xdr:cNvSpPr>
          </xdr:nvSpPr>
          <xdr:spPr>
            <a:xfrm>
              <a:off x="13301870" y="24848"/>
              <a:ext cx="2085560" cy="778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364435</xdr:colOff>
      <xdr:row>0</xdr:row>
      <xdr:rowOff>57977</xdr:rowOff>
    </xdr:from>
    <xdr:to>
      <xdr:col>21</xdr:col>
      <xdr:colOff>289892</xdr:colOff>
      <xdr:row>4</xdr:row>
      <xdr:rowOff>49694</xdr:rowOff>
    </xdr:to>
    <mc:AlternateContent xmlns:mc="http://schemas.openxmlformats.org/markup-compatibility/2006" xmlns:a14="http://schemas.microsoft.com/office/drawing/2010/main">
      <mc:Choice Requires="a14">
        <xdr:graphicFrame macro="">
          <xdr:nvGraphicFramePr>
            <xdr:cNvPr id="31" name="حاله التسليم في الموعد 1"/>
            <xdr:cNvGraphicFramePr/>
          </xdr:nvGraphicFramePr>
          <xdr:xfrm>
            <a:off x="0" y="0"/>
            <a:ext cx="0" cy="0"/>
          </xdr:xfrm>
          <a:graphic>
            <a:graphicData uri="http://schemas.microsoft.com/office/drawing/2010/slicer">
              <sle:slicer xmlns:sle="http://schemas.microsoft.com/office/drawing/2010/slicer" name="حاله التسليم في الموعد 1"/>
            </a:graphicData>
          </a:graphic>
        </xdr:graphicFrame>
      </mc:Choice>
      <mc:Fallback xmlns="">
        <xdr:sp macro="" textlink="">
          <xdr:nvSpPr>
            <xdr:cNvPr id="0" name=""/>
            <xdr:cNvSpPr>
              <a:spLocks noTextEdit="1"/>
            </xdr:cNvSpPr>
          </xdr:nvSpPr>
          <xdr:spPr>
            <a:xfrm>
              <a:off x="8945218" y="57977"/>
              <a:ext cx="4215848" cy="720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231913</xdr:colOff>
      <xdr:row>19</xdr:row>
      <xdr:rowOff>33130</xdr:rowOff>
    </xdr:from>
    <xdr:to>
      <xdr:col>25</xdr:col>
      <xdr:colOff>107674</xdr:colOff>
      <xdr:row>31</xdr:row>
      <xdr:rowOff>173934</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604628</xdr:colOff>
      <xdr:row>8</xdr:row>
      <xdr:rowOff>107675</xdr:rowOff>
    </xdr:from>
    <xdr:to>
      <xdr:col>14</xdr:col>
      <xdr:colOff>154716</xdr:colOff>
      <xdr:row>19</xdr:row>
      <xdr:rowOff>173936</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xdr:colOff>
      <xdr:row>20</xdr:row>
      <xdr:rowOff>57978</xdr:rowOff>
    </xdr:from>
    <xdr:to>
      <xdr:col>14</xdr:col>
      <xdr:colOff>190500</xdr:colOff>
      <xdr:row>31</xdr:row>
      <xdr:rowOff>165652</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5980.860973148148" createdVersion="6" refreshedVersion="6" minRefreshableVersion="3" recordCount="870">
  <cacheSource type="worksheet">
    <worksheetSource ref="A1:Y1048576" sheet="البيانات"/>
  </cacheSource>
  <cacheFields count="25">
    <cacheField name="م" numFmtId="0">
      <sharedItems containsString="0" containsBlank="1" containsNumber="1" containsInteger="1" minValue="1" maxValue="127"/>
    </cacheField>
    <cacheField name="رقم العملية" numFmtId="0">
      <sharedItems containsBlank="1" containsMixedTypes="1" containsNumber="1" containsInteger="1" minValue="2514" maxValue="265453625"/>
    </cacheField>
    <cacheField name="رقم الطلب" numFmtId="0">
      <sharedItems containsString="0" containsBlank="1" containsNumber="1" containsInteger="1" minValue="2514" maxValue="1708226"/>
    </cacheField>
    <cacheField name="أسم العميل" numFmtId="0">
      <sharedItems containsBlank="1"/>
    </cacheField>
    <cacheField name="نوع العميل" numFmtId="0">
      <sharedItems containsBlank="1"/>
    </cacheField>
    <cacheField name="العنوان" numFmtId="0">
      <sharedItems containsBlank="1"/>
    </cacheField>
    <cacheField name="المنطقه" numFmtId="0">
      <sharedItems containsBlank="1" count="32">
        <s v=" الجيزه"/>
        <s v="الإسكندرية"/>
        <s v=" الساحل الشمالى "/>
        <s v="الغردقه"/>
        <s v="6اكتوبر"/>
        <s v="التجمع الخامس"/>
        <s v="العباسيه "/>
        <s v="مصر الجديده"/>
        <s v="القاهره"/>
        <s v="مدينه نصر"/>
        <s v="القاهره الجديده"/>
        <s v="المعادي"/>
        <s v="القناطر"/>
        <s v="العين السخنه"/>
        <s v="القطاميه"/>
        <s v="الشروق القاهره"/>
        <s v="حدايق الاهرام"/>
        <s v="المقطم"/>
        <s v="الشيخ زايد"/>
        <s v="الرحاب"/>
        <s v="العبور"/>
        <s v="اسيوط"/>
        <s v="Madinet Badr"/>
        <s v="المخزن ابو الغيط"/>
        <s v="التجمع"/>
        <s v="السويس"/>
        <s v="الزمالك"/>
        <s v="مخزن شيك هومز"/>
        <s v="مدينتي"/>
        <s v="شبرا"/>
        <m/>
        <s v="الجيزه" u="1"/>
      </sharedItems>
    </cacheField>
    <cacheField name="المنصه" numFmtId="0">
      <sharedItems containsBlank="1"/>
    </cacheField>
    <cacheField name="الاثاث" numFmtId="0">
      <sharedItems containsBlank="1"/>
    </cacheField>
    <cacheField name="وصف الاثاث" numFmtId="0">
      <sharedItems containsBlank="1"/>
    </cacheField>
    <cacheField name="الاسم" numFmtId="0">
      <sharedItems containsBlank="1"/>
    </cacheField>
    <cacheField name="المقاس" numFmtId="0">
      <sharedItems containsBlank="1" containsMixedTypes="1" containsNumber="1" containsInteger="1" minValue="80" maxValue="160"/>
    </cacheField>
    <cacheField name="اللون المعدن" numFmtId="0">
      <sharedItems containsBlank="1"/>
    </cacheField>
    <cacheField name="لون القماش" numFmtId="0">
      <sharedItems containsBlank="1"/>
    </cacheField>
    <cacheField name="المنتج" numFmtId="0">
      <sharedItems containsBlank="1"/>
    </cacheField>
    <cacheField name="سعر البيع " numFmtId="0">
      <sharedItems containsString="0" containsBlank="1" containsNumber="1" minValue="4020" maxValue="22000"/>
    </cacheField>
    <cacheField name="طريقه الدفع " numFmtId="0">
      <sharedItems containsBlank="1" containsMixedTypes="1" containsNumber="1" minValue="1278.53" maxValue="22000"/>
    </cacheField>
    <cacheField name="ميعاد الطلب" numFmtId="14">
      <sharedItems containsDate="1" containsBlank="1" containsMixedTypes="1" minDate="2024-07-27T00:00:00" maxDate="2024-12-15T00:00:00"/>
    </cacheField>
    <cacheField name="ميعاد التسليم" numFmtId="0">
      <sharedItems containsNonDate="0" containsDate="1" containsString="0" containsBlank="1" minDate="2024-03-12T00:00:00" maxDate="2025-01-06T00:00:00"/>
    </cacheField>
    <cacheField name="تاريخ التسليم" numFmtId="0">
      <sharedItems containsDate="1" containsBlank="1" containsMixedTypes="1" minDate="2024-08-10T00:00:00" maxDate="2024-12-30T00:00:00"/>
    </cacheField>
    <cacheField name="التسليم في الموعد" numFmtId="0">
      <sharedItems containsString="0" containsBlank="1" containsNumber="1" containsInteger="1" minValue="0" maxValue="1"/>
    </cacheField>
    <cacheField name="حاله التسليم في الموعد" numFmtId="0">
      <sharedItems containsBlank="1"/>
    </cacheField>
    <cacheField name="مده التوصيل" numFmtId="0">
      <sharedItems containsString="0" containsBlank="1" containsNumber="1" containsInteger="1" minValue="1" maxValue="59"/>
    </cacheField>
    <cacheField name="المسئول عن التسليم" numFmtId="0">
      <sharedItems containsBlank="1"/>
    </cacheField>
    <cacheField name="الحالة" numFmtId="0">
      <sharedItems containsBlank="1"/>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5980.860973726849" createdVersion="6" refreshedVersion="6" minRefreshableVersion="3" recordCount="122">
  <cacheSource type="worksheet">
    <worksheetSource ref="A1:Y123" sheet="البيانات"/>
  </cacheSource>
  <cacheFields count="25">
    <cacheField name="م" numFmtId="0">
      <sharedItems containsSemiMixedTypes="0" containsString="0" containsNumber="1" containsInteger="1" minValue="1" maxValue="127"/>
    </cacheField>
    <cacheField name="رقم العملية" numFmtId="0">
      <sharedItems containsBlank="1" containsMixedTypes="1" containsNumber="1" containsInteger="1" minValue="2514" maxValue="265453625"/>
    </cacheField>
    <cacheField name="رقم الطلب" numFmtId="0">
      <sharedItems containsString="0" containsBlank="1" containsNumber="1" containsInteger="1" minValue="2514" maxValue="1708226"/>
    </cacheField>
    <cacheField name="أسم العميل" numFmtId="0">
      <sharedItems/>
    </cacheField>
    <cacheField name="نوع العميل" numFmtId="0">
      <sharedItems count="2">
        <s v="فرد"/>
        <s v="شركات"/>
      </sharedItems>
    </cacheField>
    <cacheField name="العنوان" numFmtId="0">
      <sharedItems containsBlank="1"/>
    </cacheField>
    <cacheField name="المنطقه" numFmtId="0">
      <sharedItems containsBlank="1" count="31">
        <s v=" الجيزه"/>
        <s v="الإسكندرية"/>
        <s v=" الساحل الشمالى "/>
        <s v="الغردقه"/>
        <s v="6اكتوبر"/>
        <s v="التجمع الخامس"/>
        <s v="العباسيه "/>
        <s v="مصر الجديده"/>
        <s v="القاهره"/>
        <s v="مدينه نصر"/>
        <s v="القاهره الجديده"/>
        <s v="المعادي"/>
        <s v="القناطر"/>
        <s v="العين السخنه"/>
        <s v="القطاميه"/>
        <s v="الشروق القاهره"/>
        <s v="حدايق الاهرام"/>
        <s v="المقطم"/>
        <s v="الشيخ زايد"/>
        <s v="الرحاب"/>
        <s v="العبور"/>
        <s v="اسيوط"/>
        <s v="Madinet Badr"/>
        <s v="المخزن ابو الغيط"/>
        <s v="التجمع"/>
        <s v="السويس"/>
        <s v="الزمالك"/>
        <s v="مخزن شيك هومز"/>
        <s v="مدينتي"/>
        <s v="شبرا"/>
        <m u="1"/>
      </sharedItems>
    </cacheField>
    <cacheField name="المنصه" numFmtId="0">
      <sharedItems count="10">
        <s v="هومزمارت"/>
        <s v="شيك هومز "/>
        <s v="فيس بوك"/>
        <s v="تاكى"/>
        <s v="اوسكار ريتن "/>
        <s v="السويس"/>
        <s v="منزلى "/>
        <s v="كيمت "/>
        <s v="منزلى" u="1"/>
        <s v="شيك هومز" u="1"/>
      </sharedItems>
    </cacheField>
    <cacheField name="الاثاث" numFmtId="0">
      <sharedItems count="7">
        <s v="سرير"/>
        <s v="ترابيزه"/>
        <s v="كنبه"/>
        <s v="ركنة"/>
        <s v="كرسى"/>
        <s v="شيزلونج"/>
        <s v="سرير " u="1"/>
      </sharedItems>
    </cacheField>
    <cacheField name="وصف الاثاث" numFmtId="0">
      <sharedItems containsBlank="1"/>
    </cacheField>
    <cacheField name="الاسم" numFmtId="0">
      <sharedItems containsBlank="1"/>
    </cacheField>
    <cacheField name="المقاس" numFmtId="0">
      <sharedItems containsBlank="1" containsMixedTypes="1" containsNumber="1" containsInteger="1" minValue="80" maxValue="160"/>
    </cacheField>
    <cacheField name="اللون المعدن" numFmtId="0">
      <sharedItems containsBlank="1" count="15">
        <s v="ابيض"/>
        <s v="اسود "/>
        <s v="ازرق"/>
        <m/>
        <s v="رمادى"/>
        <s v="دهبي"/>
        <s v="بنفسجى"/>
        <s v="اسود وبنى"/>
        <s v="ملون"/>
        <s v="بينك"/>
        <s v="نبيتى "/>
        <s v="الوان"/>
        <s v="رمادي" u="1"/>
        <s v="اسزد" u="1"/>
        <s v="اسود" u="1"/>
      </sharedItems>
    </cacheField>
    <cacheField name="لون القماش" numFmtId="0">
      <sharedItems containsBlank="1"/>
    </cacheField>
    <cacheField name="المنتج" numFmtId="0">
      <sharedItems containsBlank="1" count="73">
        <s v="سرير منطبق الحديد ابيض والقماش ابيض "/>
        <s v="سرير منطبق اسود والقماش اسود "/>
        <s v="سرير كيفينج مقاس 90 لون ازرق "/>
        <s v="ترابيزه قهوه متحركه "/>
        <s v="سرير نوفال 100 رمادى "/>
        <s v="كنبه سرير رمادى "/>
        <s v="سرير فردى ابيض "/>
        <s v="ركنه "/>
        <s v="٢ كنبه سحاره بدون مخدع "/>
        <s v="سرير نوفال ابيض مقاس ٨٠"/>
        <s v="سرير فردى خشب موسكى الحديد ابيض مقاس ٨٠"/>
        <s v="ترابيزه قهوه علويه جديده "/>
        <s v="٢ سرير كيفنج ١٢٠ اسود "/>
        <s v="سرير كينج ابيض مقاس ٨٠ التصميم الجديد "/>
        <s v="٤سرير فردى خشب موسكى الحديد ابيض مقاس ٨٠"/>
        <s v="٢ فوتيه فنيسيا "/>
        <s v="سرير اسبانى ابيض ١٢٠"/>
        <s v="سرير كينج دورين ابيض مقاس 100"/>
        <s v="سرير كينج دورين اسود مقاس 100"/>
        <s v="٢ سريرفورجينا خشب موسكى ابيض مقاس ١٢٠"/>
        <s v="٢ سرير ارفيل ١٢٠ اسود "/>
        <s v="سرير منطبق اسود وقماش اسود"/>
        <s v="ترابيزه قهوه علويه برف سحاب "/>
        <s v="سرير منطبق اسود حديد وقماش"/>
        <s v="سرير ٣ ادورا اسود مقاس ١٠٠ "/>
        <s v="سرير اسبانى اسود مقاس ١٢٠"/>
        <s v="سرير كوين مقاس ١٤٠ دهبي ورمادى "/>
        <s v="سرير كيفنج ١٢٠ رمادى "/>
        <s v="سرير نوفال  ٩٠ اسود "/>
        <s v="            ٢ سرير كيفنج ١٠٠ اسود "/>
        <s v="سرير ٣ ادوار ابيض مقاس ٨٠ ابيض "/>
        <s v="سرير كيفنج دورين مقاس ٨٠ ابيض "/>
        <s v="سرير استيل ازرق مقاس ١٤٠"/>
        <s v="سرير كينج ١٢٠ بنفسجى "/>
        <s v="كنبه سرير ٤ حركه اسود"/>
        <s v="سرير ٣ ادوار اسود مقاس ٩٠ "/>
        <s v="تربيزه قهوه ٢ رافع"/>
        <s v="سرير منطبق اسود حديد ومعدن "/>
        <s v="سرير اسبانى  ١٤٠ اسود وبيج "/>
        <s v=" ٢. سرير فورجينا ابيض مقاس ١٢٠"/>
        <s v="   ٢. سرير اسبانى ابيض ١٢٠"/>
        <s v="سرير كيفنج دورين مقاس ١٢٠ رمادى "/>
        <s v="سرير نوفال ١٠٠ رمادى "/>
        <s v="سرير نوفال ابيض مقاس 80 "/>
        <s v="سرير كينج دورين اسود وبني مقاس 100"/>
        <s v="سرير فورجينا ابيض مقاس ١٢٠"/>
        <s v="ترابيزه قهوه علويه برف سحاب"/>
        <s v="كنبه سرير ٤ حركه اسود والقماش نبيتي"/>
        <s v="سرير فانتاستك دورين مقاس 100"/>
        <s v="سرير منطبق اسود اسود والقماش بيج"/>
        <s v="كنبه فنيسيا اسود والقماش رصاصي مشجر"/>
        <s v="شيزلونج اسود حديد والقماش نبيتي"/>
        <s v="كنبه سرير ٤ حركه اسود والقماش بترولي"/>
        <s v="سرير نوفال بينك ١٤٠/١٠٠"/>
        <s v="سرير نوفال بينك ١٠٠/١٤٠"/>
        <s v="سرير فردي بلحه مقاس ١٤٠"/>
        <s v="كنبه سرير ٤ حركه اسود "/>
        <s v="سرير كينج دورين اسود مقاس 90"/>
        <m/>
        <s v="سرير فورجينا فردي مقاس 160"/>
        <s v="سرير كينج دورين اسود مقاس 80"/>
        <s v="سرير نوفال 120 رمادي "/>
        <s v="سرير نوفال 90 اسود"/>
        <s v="سرير كوين فردي مقاس 160"/>
        <s v="سرير اسبانى رمادى ١٢٠"/>
        <s v="كنبه t1"/>
        <s v="ترابيزه مكتبه "/>
        <s v="ترابيزه دوران ميكانيزم"/>
        <s v="سرير كيفنج 90 ازرق"/>
        <s v="سرير منطبق اسود والقماش اسود"/>
        <s v="سرير كينج دورين اسود مقاس "/>
        <s v="سرير نوفال 80 اسود"/>
        <s v="كنبه سرير ٤ حركه اسود والقماش روك10"/>
      </sharedItems>
    </cacheField>
    <cacheField name="سعر البيع " numFmtId="0">
      <sharedItems containsString="0" containsBlank="1" containsNumber="1" minValue="4020" maxValue="22000"/>
    </cacheField>
    <cacheField name="طريقه الدفع " numFmtId="0">
      <sharedItems containsBlank="1" containsMixedTypes="1" containsNumber="1" minValue="1278.53" maxValue="22000"/>
    </cacheField>
    <cacheField name="ميعاد الطلب" numFmtId="14">
      <sharedItems containsDate="1" containsMixedTypes="1" minDate="2024-07-27T00:00:00" maxDate="2024-12-15T00:00:00"/>
    </cacheField>
    <cacheField name="ميعاد التسليم" numFmtId="0">
      <sharedItems containsNonDate="0" containsDate="1" containsString="0" containsBlank="1" minDate="2024-03-12T00:00:00" maxDate="2025-01-06T00:00:00"/>
    </cacheField>
    <cacheField name="تاريخ التسليم" numFmtId="0">
      <sharedItems containsDate="1" containsBlank="1" containsMixedTypes="1" minDate="2024-08-10T00:00:00" maxDate="2024-12-30T00:00:00"/>
    </cacheField>
    <cacheField name="التسليم في الموعد" numFmtId="0">
      <sharedItems containsString="0" containsBlank="1" containsNumber="1" containsInteger="1" minValue="0" maxValue="1"/>
    </cacheField>
    <cacheField name="حاله التسليم في الموعد" numFmtId="0">
      <sharedItems containsBlank="1" count="3">
        <m/>
        <s v="متاخر"/>
        <s v="في الموعد"/>
      </sharedItems>
    </cacheField>
    <cacheField name="مده التوصيل" numFmtId="0">
      <sharedItems containsString="0" containsBlank="1" containsNumber="1" containsInteger="1" minValue="1" maxValue="59"/>
    </cacheField>
    <cacheField name="المسئول عن التسليم" numFmtId="0">
      <sharedItems/>
    </cacheField>
    <cacheField name="الحالة" numFmtId="0">
      <sharedItems count="3">
        <s v="تم التسليم"/>
        <s v="لاغي"/>
        <s v="تم التسليم " u="1"/>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870">
  <r>
    <n v="1"/>
    <m/>
    <m/>
    <s v="خالد عبد القوى "/>
    <s v="فرد"/>
    <s v="العجوزه "/>
    <x v="0"/>
    <s v="هومزمارت"/>
    <s v="سرير"/>
    <s v="منطبق"/>
    <m/>
    <m/>
    <s v="ابيض"/>
    <s v="ابيض"/>
    <s v="سرير منطبق الحديد ابيض والقماش ابيض "/>
    <n v="10160"/>
    <s v="مسبق الدفع"/>
    <d v="2024-07-27T00:00:00"/>
    <m/>
    <d v="2024-08-10T00:00:00"/>
    <m/>
    <m/>
    <n v="14"/>
    <s v="تم التسليم عن طريق شركه شحن "/>
    <s v="تم التسليم"/>
  </r>
  <r>
    <n v="2"/>
    <m/>
    <m/>
    <s v="محمود"/>
    <s v="فرد"/>
    <s v="سموحه "/>
    <x v="1"/>
    <s v="هومزمارت"/>
    <s v="سرير"/>
    <s v="منطبق"/>
    <m/>
    <m/>
    <s v="اسود "/>
    <s v="اسود"/>
    <s v="سرير منطبق اسود والقماش اسود "/>
    <n v="10160"/>
    <n v="9749"/>
    <d v="2024-07-28T00:00:00"/>
    <m/>
    <d v="2024-08-11T00:00:00"/>
    <m/>
    <m/>
    <n v="14"/>
    <s v="تم التسليم عن طريق شركه شحن "/>
    <s v="تم التسليم"/>
  </r>
  <r>
    <n v="3"/>
    <m/>
    <m/>
    <s v="سعيد"/>
    <s v="فرد"/>
    <s v="سيدى عبد الرحمن "/>
    <x v="2"/>
    <s v="هومزمارت"/>
    <s v="سرير"/>
    <s v="دورين"/>
    <s v="كيفنج"/>
    <n v="90"/>
    <s v="ازرق"/>
    <s v="ازرق"/>
    <s v="سرير كيفينج مقاس 90 لون ازرق "/>
    <n v="11455"/>
    <n v="10067.68"/>
    <s v="27/7/2024"/>
    <m/>
    <m/>
    <m/>
    <m/>
    <m/>
    <s v="فشل التسليم "/>
    <s v="لاغي"/>
  </r>
  <r>
    <n v="4"/>
    <m/>
    <m/>
    <s v="ساندرا"/>
    <s v="فرد"/>
    <s v="الغردقه "/>
    <x v="3"/>
    <s v="هومزمارت"/>
    <s v="ترابيزه"/>
    <m/>
    <m/>
    <m/>
    <m/>
    <m/>
    <s v="ترابيزه قهوه متحركه "/>
    <n v="8642"/>
    <s v="مسبق الدفع"/>
    <d v="2024-08-25T00:00:00"/>
    <d v="2024-09-07T00:00:00"/>
    <d v="2024-08-27T00:00:00"/>
    <n v="0"/>
    <s v="متاخر"/>
    <n v="2"/>
    <s v="تم التسليم عن طريق شركه شحن "/>
    <s v="تم التسليم"/>
  </r>
  <r>
    <n v="5"/>
    <m/>
    <m/>
    <s v="زينا "/>
    <s v="فرد"/>
    <s v="سيدى عبد الرحمن "/>
    <x v="2"/>
    <s v="هومزمارت"/>
    <s v="سرير"/>
    <s v="دورين"/>
    <s v="نوفال"/>
    <n v="100"/>
    <s v="رمادى"/>
    <s v="رمادي"/>
    <s v="سرير نوفال 100 رمادى "/>
    <n v="12833"/>
    <n v="12974.22"/>
    <d v="2024-08-16T00:00:00"/>
    <d v="2024-08-31T00:00:00"/>
    <m/>
    <m/>
    <m/>
    <m/>
    <s v="فشل التسليم "/>
    <s v="لاغي"/>
  </r>
  <r>
    <n v="6"/>
    <m/>
    <m/>
    <s v="شيك هومز "/>
    <s v="شركات"/>
    <m/>
    <x v="4"/>
    <s v="شيك هومز "/>
    <s v="كنبه"/>
    <s v="4*1"/>
    <m/>
    <m/>
    <s v="رمادى"/>
    <s v="رمادي"/>
    <s v="كنبه سرير رمادى "/>
    <n v="14550"/>
    <s v="مسبق الدفع"/>
    <d v="2024-08-14T00:00:00"/>
    <d v="2024-09-03T00:00:00"/>
    <d v="2024-09-05T00:00:00"/>
    <n v="1"/>
    <s v="في الموعد"/>
    <n v="22"/>
    <s v="تم التسليم عن طريق شركه شحن "/>
    <s v="تم التسليم"/>
  </r>
  <r>
    <n v="7"/>
    <m/>
    <m/>
    <s v="احمد "/>
    <s v="فرد"/>
    <s v="التجمع الخامس"/>
    <x v="5"/>
    <s v="فيس بوك"/>
    <s v="كنبه"/>
    <s v="4*1"/>
    <m/>
    <m/>
    <s v="رمادى"/>
    <s v="رمادي"/>
    <s v="كنبه سرير رمادى "/>
    <n v="12000"/>
    <n v="12000"/>
    <d v="2024-08-17T00:00:00"/>
    <d v="2024-08-20T00:00:00"/>
    <d v="2024-08-19T00:00:00"/>
    <n v="0"/>
    <s v="متاخر"/>
    <n v="2"/>
    <s v="تم التسليم عن طريق شركه شحن "/>
    <s v="تم التسليم"/>
  </r>
  <r>
    <n v="8"/>
    <m/>
    <m/>
    <s v="yilmaz"/>
    <s v="شركات"/>
    <s v="٦ اكتوبر الجيزه "/>
    <x v="4"/>
    <s v="هومزمارت"/>
    <s v="سرير"/>
    <s v="فردى"/>
    <m/>
    <m/>
    <s v="ابيض"/>
    <s v="ابيض"/>
    <s v="سرير فردى ابيض "/>
    <n v="7228"/>
    <s v="مسبق الدفع"/>
    <d v="2024-08-25T00:00:00"/>
    <d v="2024-09-03T00:00:00"/>
    <d v="2024-09-10T00:00:00"/>
    <n v="1"/>
    <s v="في الموعد"/>
    <n v="16"/>
    <s v="تم التسليم عن طريق شركه شحن "/>
    <s v="تم التسليم"/>
  </r>
  <r>
    <n v="9"/>
    <m/>
    <n v="2514"/>
    <s v="تاكى "/>
    <s v="شركات"/>
    <s v="العباسيه"/>
    <x v="6"/>
    <s v="تاكى"/>
    <s v="ركنة"/>
    <s v="ركنة بسرير"/>
    <m/>
    <m/>
    <m/>
    <m/>
    <s v="ركنه "/>
    <n v="22000"/>
    <n v="22000"/>
    <d v="2024-08-19T00:00:00"/>
    <d v="2024-09-01T00:00:00"/>
    <d v="2024-09-17T00:00:00"/>
    <n v="1"/>
    <s v="في الموعد"/>
    <n v="29"/>
    <s v="تم التسليم محمود علي"/>
    <s v="تم التسليم"/>
  </r>
  <r>
    <n v="11"/>
    <m/>
    <n v="2514"/>
    <s v="تاكى "/>
    <s v="شركات"/>
    <s v="العباسيه "/>
    <x v="6"/>
    <s v="تاكى"/>
    <s v="كنبه"/>
    <s v="سحارة"/>
    <m/>
    <m/>
    <m/>
    <m/>
    <s v="٢ كنبه سحاره بدون مخدع "/>
    <n v="6000"/>
    <n v="12000"/>
    <d v="2024-08-25T00:00:00"/>
    <d v="2024-09-15T00:00:00"/>
    <d v="2024-09-17T00:00:00"/>
    <n v="1"/>
    <s v="في الموعد"/>
    <n v="23"/>
    <s v="تم التسليم محمود علي"/>
    <s v="تم التسليم"/>
  </r>
  <r>
    <n v="12"/>
    <m/>
    <n v="2514"/>
    <s v="تاكى "/>
    <s v="شركات"/>
    <s v="العباسيه "/>
    <x v="6"/>
    <s v="تاكى"/>
    <s v="كنبه"/>
    <s v="سحارة"/>
    <m/>
    <m/>
    <m/>
    <m/>
    <s v="٢ كنبه سحاره بدون مخدع "/>
    <n v="6000"/>
    <n v="12000"/>
    <d v="2024-08-25T00:00:00"/>
    <d v="2024-09-15T00:00:00"/>
    <d v="2024-09-17T00:00:00"/>
    <n v="1"/>
    <s v="في الموعد"/>
    <n v="23"/>
    <s v="تم التسليم محمود علي"/>
    <s v="تم التسليم"/>
  </r>
  <r>
    <n v="13"/>
    <m/>
    <m/>
    <s v="على رشوان "/>
    <s v="فرد"/>
    <s v="مصر الجديده"/>
    <x v="7"/>
    <s v="هومزمارت"/>
    <s v="سرير"/>
    <s v="دورين"/>
    <s v="نوفال"/>
    <n v="80"/>
    <s v="ابيض"/>
    <s v="ابيض"/>
    <s v="سرير نوفال ابيض مقاس ٨٠"/>
    <n v="10499"/>
    <n v="8924"/>
    <d v="2024-09-01T00:00:00"/>
    <d v="2024-09-16T00:00:00"/>
    <d v="2024-09-08T00:00:00"/>
    <n v="0"/>
    <s v="متاخر"/>
    <n v="7"/>
    <s v="تم التسليم عن طريق شركه شحن "/>
    <s v="تم التسليم"/>
  </r>
  <r>
    <n v="14"/>
    <n v="1404561"/>
    <n v="1199284"/>
    <s v="احمد فخرى "/>
    <s v="فرد"/>
    <s v="٦ اكتوبر الجيزه "/>
    <x v="4"/>
    <s v="هومزمارت"/>
    <s v="سرير"/>
    <s v="فردى"/>
    <s v="نوفال"/>
    <n v="80"/>
    <s v="ابيض"/>
    <s v="ابيض"/>
    <s v="سرير فردى خشب موسكى الحديد ابيض مقاس ٨٠"/>
    <n v="7295"/>
    <n v="5895"/>
    <d v="2024-09-05T00:00:00"/>
    <d v="2024-09-14T00:00:00"/>
    <m/>
    <m/>
    <m/>
    <m/>
    <s v="ملغي"/>
    <s v="لاغي"/>
  </r>
  <r>
    <n v="15"/>
    <n v="1401137"/>
    <n v="1197500"/>
    <s v="لينا "/>
    <s v="فرد"/>
    <s v="المقطم "/>
    <x v="8"/>
    <s v="هومزمارت"/>
    <s v="ترابيزه"/>
    <s v="2 ميكانزم"/>
    <m/>
    <m/>
    <m/>
    <m/>
    <s v="ترابيزه قهوه علويه جديده "/>
    <n v="7849"/>
    <s v="مسبق الدفع"/>
    <d v="2024-09-04T00:00:00"/>
    <d v="2024-09-16T00:00:00"/>
    <d v="2024-09-25T00:00:00"/>
    <n v="1"/>
    <s v="في الموعد"/>
    <n v="21"/>
    <s v="تم التسليم عن طريق شركه شحن "/>
    <s v="لاغي"/>
  </r>
  <r>
    <n v="16"/>
    <m/>
    <m/>
    <s v="فيصل نعيم "/>
    <s v="فرد"/>
    <s v="التجمع الخامس "/>
    <x v="5"/>
    <s v="اوسكار ريتن "/>
    <s v="سرير"/>
    <s v="دورين"/>
    <s v="كيفنج"/>
    <n v="120"/>
    <s v="اسود "/>
    <s v="اسود"/>
    <s v="٢ سرير كيفنج ١٢٠ اسود "/>
    <n v="6180"/>
    <n v="9700"/>
    <d v="2024-09-03T00:00:00"/>
    <d v="2024-09-16T00:00:00"/>
    <d v="2024-09-15T00:00:00"/>
    <n v="0"/>
    <s v="متاخر"/>
    <n v="12"/>
    <s v="تم التسليم محمود علي"/>
    <s v="تم التسليم"/>
  </r>
  <r>
    <n v="17"/>
    <m/>
    <m/>
    <s v="فيصل نعيم "/>
    <s v="فرد"/>
    <s v="التجمع الخامس "/>
    <x v="5"/>
    <s v="اوسكار ريتن "/>
    <s v="سرير"/>
    <s v="دورين"/>
    <s v="كيفنج"/>
    <n v="120"/>
    <s v="اسود "/>
    <s v="اسود"/>
    <s v="٢ سرير كيفنج ١٢٠ اسود "/>
    <n v="6180"/>
    <n v="9700"/>
    <d v="2024-09-03T00:00:00"/>
    <d v="2024-09-16T00:00:00"/>
    <d v="2024-09-15T00:00:00"/>
    <n v="0"/>
    <s v="متاخر"/>
    <n v="12"/>
    <s v="تم التسليم محمود علي"/>
    <s v="تم التسليم"/>
  </r>
  <r>
    <n v="18"/>
    <n v="1400149"/>
    <n v="1196947"/>
    <s v="ellho elkafy"/>
    <s v="شركات"/>
    <s v="مدينه نصر "/>
    <x v="9"/>
    <s v="هومزمارت"/>
    <s v="سرير"/>
    <s v="دورين"/>
    <s v="كينج"/>
    <n v="80"/>
    <s v="ابيض"/>
    <s v="ابيض"/>
    <s v="سرير كينج ابيض مقاس ٨٠ التصميم الجديد "/>
    <n v="11199"/>
    <n v="11310"/>
    <d v="2024-09-04T00:00:00"/>
    <d v="2024-09-18T00:00:00"/>
    <m/>
    <m/>
    <m/>
    <m/>
    <s v="ملغي"/>
    <s v="لاغي"/>
  </r>
  <r>
    <n v="19"/>
    <n v="1408099"/>
    <n v="1201057"/>
    <s v="احمد "/>
    <s v="فرد"/>
    <s v="القاهره الجديده"/>
    <x v="10"/>
    <s v="هومزمارت"/>
    <s v="سرير"/>
    <s v="فردى"/>
    <s v="فورجينا"/>
    <n v="80"/>
    <s v="ابيض"/>
    <s v="ابيض"/>
    <s v="٤سرير فردى خشب موسكى الحديد ابيض مقاس ٨٠"/>
    <n v="7987"/>
    <s v="مسبق الدفع"/>
    <d v="2024-09-06T00:00:00"/>
    <d v="2024-09-16T00:00:00"/>
    <d v="2024-09-21T00:00:00"/>
    <n v="1"/>
    <s v="في الموعد"/>
    <n v="15"/>
    <s v="تم التسليم محمود علي"/>
    <s v="تم التسليم"/>
  </r>
  <r>
    <n v="20"/>
    <m/>
    <n v="2514"/>
    <s v="تاكى"/>
    <s v="شركات"/>
    <s v="العباسيه"/>
    <x v="6"/>
    <s v="تاكى"/>
    <s v="كرسى"/>
    <s v="فنيسيا"/>
    <m/>
    <m/>
    <m/>
    <m/>
    <s v="٢ فوتيه فنيسيا "/>
    <n v="9300"/>
    <n v="9300"/>
    <d v="2024-09-04T00:00:00"/>
    <d v="2024-09-15T00:00:00"/>
    <d v="2024-09-17T00:00:00"/>
    <n v="1"/>
    <s v="في الموعد"/>
    <n v="13"/>
    <s v="تم التسليم محمود علي"/>
    <s v="تم التسليم"/>
  </r>
  <r>
    <n v="21"/>
    <n v="1408098"/>
    <n v="1201057"/>
    <s v="احمد "/>
    <s v="فرد"/>
    <s v="القاهره الجديده"/>
    <x v="10"/>
    <s v="هومزمارت"/>
    <s v="سرير"/>
    <s v="فردى"/>
    <s v="فورجينا"/>
    <n v="80"/>
    <s v="ابيض"/>
    <s v="ابيض"/>
    <s v="٤سرير فردى خشب موسكى الحديد ابيض مقاس ٨٠"/>
    <n v="7987"/>
    <s v="مسبق الدفع"/>
    <d v="2024-09-06T00:00:00"/>
    <d v="2024-09-16T00:00:00"/>
    <d v="2024-09-21T00:00:00"/>
    <n v="1"/>
    <s v="في الموعد"/>
    <n v="15"/>
    <s v="تم التسليم محمود علي"/>
    <s v="تم التسليم"/>
  </r>
  <r>
    <n v="22"/>
    <n v="1408100"/>
    <n v="1201057"/>
    <s v="احمد "/>
    <s v="فرد"/>
    <s v="القاهره الجديده"/>
    <x v="10"/>
    <s v="هومزمارت"/>
    <s v="سرير"/>
    <s v="فردى"/>
    <s v="فورجينا"/>
    <n v="80"/>
    <s v="ابيض"/>
    <s v="ابيض"/>
    <s v="٤سرير فردى خشب موسكى الحديد ابيض مقاس ٨٠"/>
    <n v="7987"/>
    <s v="مسبق الدفع"/>
    <d v="2024-09-06T00:00:00"/>
    <d v="2024-09-16T00:00:00"/>
    <d v="2024-09-21T00:00:00"/>
    <n v="1"/>
    <s v="في الموعد"/>
    <n v="15"/>
    <s v="تم التسليم محمود علي"/>
    <s v="تم التسليم"/>
  </r>
  <r>
    <n v="23"/>
    <n v="1408101"/>
    <n v="1201057"/>
    <s v="احمد "/>
    <s v="فرد"/>
    <s v="القاهره الجديده"/>
    <x v="10"/>
    <s v="هومزمارت"/>
    <s v="سرير"/>
    <s v="فردى"/>
    <s v="فورجينا"/>
    <n v="80"/>
    <s v="ابيض"/>
    <s v="ابيض"/>
    <s v="٤سرير فردى خشب موسكى الحديد ابيض مقاس ٨٠"/>
    <n v="7987"/>
    <s v="مسبق الدفع"/>
    <d v="2024-09-06T00:00:00"/>
    <d v="2024-09-16T00:00:00"/>
    <d v="2024-09-21T00:00:00"/>
    <n v="1"/>
    <s v="في الموعد"/>
    <n v="15"/>
    <s v="تم التسليم محمود علي"/>
    <s v="تم التسليم"/>
  </r>
  <r>
    <n v="24"/>
    <n v="1513856"/>
    <n v="1231946"/>
    <s v="صفاء"/>
    <s v="فرد"/>
    <s v="المعادى"/>
    <x v="11"/>
    <s v="هومزمارت"/>
    <s v="ترابيزه"/>
    <s v="2 ميكانزم"/>
    <m/>
    <m/>
    <m/>
    <m/>
    <s v="ترابيزه قهوه علويه جديده "/>
    <n v="8849"/>
    <s v="مسبق الدفع"/>
    <d v="2024-09-03T00:00:00"/>
    <d v="2024-10-16T00:00:00"/>
    <m/>
    <m/>
    <m/>
    <m/>
    <s v="ملغي"/>
    <s v="لاغي"/>
  </r>
  <r>
    <n v="25"/>
    <n v="1411691"/>
    <n v="1202775"/>
    <s v="حسن حازم"/>
    <s v="فرد"/>
    <s v="٦ اكتوبر الجيزه "/>
    <x v="4"/>
    <s v="هومزمارت"/>
    <s v="سرير"/>
    <s v="فردى"/>
    <s v="اسبانى"/>
    <n v="120"/>
    <s v="ابيض"/>
    <s v="ابيض"/>
    <s v="سرير اسبانى ابيض ١٢٠"/>
    <n v="10987"/>
    <s v="مسبق الدفع"/>
    <d v="2024-09-09T00:00:00"/>
    <d v="2024-09-17T00:00:00"/>
    <d v="2024-09-21T00:00:00"/>
    <n v="1"/>
    <s v="في الموعد"/>
    <n v="12"/>
    <s v="تم التسليم محمود علي"/>
    <s v="تم التسليم"/>
  </r>
  <r>
    <n v="26"/>
    <m/>
    <m/>
    <s v="شيك هومز "/>
    <s v="شركات"/>
    <m/>
    <x v="4"/>
    <s v="شيك هومز "/>
    <s v="سرير"/>
    <s v="دورين"/>
    <s v="كينج"/>
    <n v="100"/>
    <s v="ابيض"/>
    <s v="ابيض"/>
    <s v="سرير كينج دورين ابيض مقاس 100"/>
    <n v="9208"/>
    <n v="5781.75"/>
    <d v="2024-09-01T00:00:00"/>
    <d v="2024-09-19T00:00:00"/>
    <d v="2024-09-21T00:00:00"/>
    <n v="1"/>
    <s v="في الموعد"/>
    <n v="20"/>
    <s v="تم التسليم محمود علي"/>
    <s v="تم التسليم"/>
  </r>
  <r>
    <n v="27"/>
    <m/>
    <m/>
    <s v="شيك هومز "/>
    <s v="شركات"/>
    <m/>
    <x v="4"/>
    <s v="شيك هومز "/>
    <s v="سرير"/>
    <s v="دورين"/>
    <s v="كينج"/>
    <n v="100"/>
    <s v="اسود "/>
    <s v="اسود"/>
    <s v="سرير كينج دورين اسود مقاس 100"/>
    <n v="9208"/>
    <n v="1278.53"/>
    <d v="2024-09-01T00:00:00"/>
    <d v="2024-09-19T00:00:00"/>
    <d v="2024-09-21T00:00:00"/>
    <n v="1"/>
    <s v="في الموعد"/>
    <n v="20"/>
    <s v="تم التسليم محمود علي"/>
    <s v="تم التسليم"/>
  </r>
  <r>
    <n v="28"/>
    <m/>
    <m/>
    <s v="اوسكار راتن"/>
    <s v="شركات"/>
    <s v="مخزن اوسكار في القناطر "/>
    <x v="12"/>
    <s v="اوسكار ريتن "/>
    <s v="سرير"/>
    <s v="فردى"/>
    <s v="فورجينا"/>
    <n v="120"/>
    <s v="ابيض"/>
    <s v="ابيض"/>
    <s v="٢ سريرفورجينا خشب موسكى ابيض مقاس ١٢٠"/>
    <n v="4020"/>
    <s v="حساب شركه"/>
    <d v="2024-09-12T00:00:00"/>
    <d v="2024-09-21T00:00:00"/>
    <d v="2024-09-22T00:00:00"/>
    <n v="1"/>
    <s v="في الموعد"/>
    <n v="10"/>
    <s v="تم التسليم محمود علي"/>
    <s v="تم التسليم"/>
  </r>
  <r>
    <n v="29"/>
    <m/>
    <m/>
    <s v="اوسكار راتن"/>
    <s v="شركات"/>
    <s v="مخزن اوسكار في القناطر "/>
    <x v="12"/>
    <s v="اوسكار ريتن "/>
    <s v="سرير"/>
    <s v="فردى"/>
    <s v="فورجينا"/>
    <n v="120"/>
    <s v="ابيض"/>
    <s v="ابيض"/>
    <s v="٢ سريرفورجينا خشب موسكى ابيض مقاس ١٢٠"/>
    <n v="4020"/>
    <s v="حساب شركه"/>
    <d v="2024-09-12T00:00:00"/>
    <d v="2024-09-21T00:00:00"/>
    <d v="2024-09-22T00:00:00"/>
    <n v="1"/>
    <s v="في الموعد"/>
    <n v="10"/>
    <s v="تم التسليم محمود علي"/>
    <s v="تم التسليم"/>
  </r>
  <r>
    <n v="30"/>
    <m/>
    <m/>
    <s v="اوسكار راتن"/>
    <s v="شركات"/>
    <s v="مخزن اوسكار في القناطر "/>
    <x v="12"/>
    <s v="اوسكار ريتن "/>
    <s v="سرير"/>
    <s v="فردى"/>
    <s v="ارفيل"/>
    <n v="120"/>
    <s v="اسود "/>
    <s v="اسود"/>
    <s v="٢ سرير ارفيل ١٢٠ اسود "/>
    <n v="4020"/>
    <s v="مسبق الدفع "/>
    <d v="2024-09-12T00:00:00"/>
    <d v="2024-09-21T00:00:00"/>
    <d v="2024-09-22T00:00:00"/>
    <n v="1"/>
    <s v="في الموعد"/>
    <n v="10"/>
    <s v="تم التسليم محمود علي"/>
    <s v="تم التسليم"/>
  </r>
  <r>
    <n v="31"/>
    <m/>
    <m/>
    <s v="اوسكار راتن"/>
    <s v="شركات"/>
    <s v="مخزن اوسكار في القناطر "/>
    <x v="12"/>
    <s v="اوسكار ريتن "/>
    <s v="سرير"/>
    <s v="فردى"/>
    <s v="ارفيل"/>
    <n v="120"/>
    <s v="اسود "/>
    <s v="اسود"/>
    <s v="٢ سرير ارفيل ١٢٠ اسود "/>
    <n v="4020"/>
    <s v="مسبق الدفع "/>
    <d v="2024-09-12T00:00:00"/>
    <d v="2024-09-21T00:00:00"/>
    <d v="2024-09-22T00:00:00"/>
    <n v="1"/>
    <s v="في الموعد"/>
    <n v="10"/>
    <s v="تم التسليم محمود علي"/>
    <s v="تم التسليم"/>
  </r>
  <r>
    <n v="32"/>
    <n v="1509211"/>
    <n v="1230837"/>
    <s v="صفاء الحكيم"/>
    <s v="فرد"/>
    <s v="العين السخنه"/>
    <x v="13"/>
    <s v="هومزمارت"/>
    <s v="سرير"/>
    <s v="منطبق"/>
    <m/>
    <m/>
    <s v="اسود "/>
    <s v="اسود"/>
    <s v="سرير منطبق اسود وقماش اسود"/>
    <n v="9399"/>
    <s v="مسبق الدفع "/>
    <s v="14/9/2024"/>
    <d v="2024-09-22T00:00:00"/>
    <m/>
    <m/>
    <m/>
    <m/>
    <s v="فشل التسليم "/>
    <s v="لاغي"/>
  </r>
  <r>
    <n v="33"/>
    <n v="1536687"/>
    <n v="1237682"/>
    <s v="يوسف شناوى"/>
    <s v="فرد"/>
    <s v="الابراهيميه . الإسكندرية "/>
    <x v="1"/>
    <s v="هومزمارت"/>
    <s v="ترابيزه"/>
    <s v="رف سحاب"/>
    <m/>
    <m/>
    <m/>
    <m/>
    <s v="ترابيزه قهوه علويه برف سحاب "/>
    <n v="8349"/>
    <s v="مسبق الدفع "/>
    <d v="2024-09-14T00:00:00"/>
    <d v="2024-09-22T00:00:00"/>
    <d v="2024-09-24T00:00:00"/>
    <n v="1"/>
    <s v="في الموعد"/>
    <n v="10"/>
    <s v="تم التسليم عن طريق شركه شحن "/>
    <s v="تم التسليم"/>
  </r>
  <r>
    <n v="34"/>
    <n v="1520537"/>
    <n v="1233624"/>
    <s v="حاتم العيسوي "/>
    <s v="فرد"/>
    <s v="٦ اكتوبر الجيزه "/>
    <x v="4"/>
    <s v="هومزمارت"/>
    <s v="سرير"/>
    <s v="منطبق"/>
    <m/>
    <m/>
    <s v="اسود "/>
    <s v="اسود"/>
    <s v="سرير منطبق اسود حديد وقماش"/>
    <n v="9399"/>
    <s v="مسبق الدفع"/>
    <d v="2024-09-13T00:00:00"/>
    <d v="2024-09-24T00:00:00"/>
    <s v="09/31/2024"/>
    <n v="1"/>
    <s v="في الموعد"/>
    <n v="18"/>
    <s v="تم التسليم عن طريق شركه شحن "/>
    <s v="تم التسليم"/>
  </r>
  <r>
    <n v="35"/>
    <n v="1422998"/>
    <n v="1207350"/>
    <s v="رنا "/>
    <s v="فرد"/>
    <s v="القطاميه "/>
    <x v="14"/>
    <s v="هومزمارت"/>
    <s v="ترابيزه"/>
    <s v="2 ميكانزم"/>
    <m/>
    <m/>
    <m/>
    <m/>
    <s v="ترابيزه قهوه علويه جديده "/>
    <n v="7849"/>
    <n v="7928"/>
    <d v="2024-09-12T00:00:00"/>
    <d v="2024-09-26T00:00:00"/>
    <s v=" "/>
    <m/>
    <m/>
    <m/>
    <s v="تم التسليم عن طريق شركه شحن "/>
    <s v="تم التسليم"/>
  </r>
  <r>
    <n v="36"/>
    <m/>
    <m/>
    <s v="عبير نور الدين"/>
    <s v="فرد"/>
    <s v="١٨ شارع البحيري بولاق الدكرور الجيزه "/>
    <x v="0"/>
    <s v="فيس بوك"/>
    <s v="سرير"/>
    <s v="ثلاثه ادوار"/>
    <s v="كيفنج"/>
    <n v="100"/>
    <s v="اسود "/>
    <s v="اسود"/>
    <s v="سرير ٣ ادورا اسود مقاس ١٠٠ "/>
    <n v="9450"/>
    <n v="9450"/>
    <d v="2024-09-12T00:00:00"/>
    <d v="2024-09-26T00:00:00"/>
    <m/>
    <m/>
    <m/>
    <m/>
    <s v="ملغي"/>
    <s v="لاغي"/>
  </r>
  <r>
    <n v="37"/>
    <n v="1459790"/>
    <n v="1218257"/>
    <s v="اسراء ابو العنين "/>
    <s v="فرد"/>
    <s v="القاهره الجديده"/>
    <x v="10"/>
    <s v="هومزمارت"/>
    <s v="سرير"/>
    <s v="فردى"/>
    <s v="اسبانى"/>
    <n v="120"/>
    <s v="اسود "/>
    <s v="اسود"/>
    <s v="سرير اسبانى اسود مقاس ١٢٠"/>
    <n v="7460"/>
    <s v="مسبق الدفع"/>
    <d v="2024-09-13T00:00:00"/>
    <d v="2024-09-26T00:00:00"/>
    <d v="2024-10-03T00:00:00"/>
    <n v="1"/>
    <s v="في الموعد"/>
    <n v="20"/>
    <s v="تم التسليم محمود علي"/>
    <s v="تم التسليم"/>
  </r>
  <r>
    <n v="38"/>
    <n v="1455486"/>
    <n v="1217163"/>
    <s v="وائل صادق"/>
    <s v="فرد"/>
    <s v="القاهره الجديده"/>
    <x v="10"/>
    <s v="هومزمارت"/>
    <s v="سرير"/>
    <s v="فردى"/>
    <s v="كورين"/>
    <n v="140"/>
    <s v="دهبي"/>
    <s v="رمادى"/>
    <s v="سرير كوين مقاس ١٤٠ دهبي ورمادى "/>
    <n v="9528"/>
    <s v="مسبق الدفع"/>
    <d v="2024-09-13T00:00:00"/>
    <d v="2024-09-26T00:00:00"/>
    <d v="2024-10-03T00:00:00"/>
    <n v="1"/>
    <s v="في الموعد"/>
    <n v="20"/>
    <s v="تم التسليم محمود علي"/>
    <s v="تم التسليم"/>
  </r>
  <r>
    <n v="39"/>
    <n v="1504407"/>
    <n v="1229760"/>
    <s v="حسن مغرب "/>
    <s v="فرد"/>
    <s v="٦ اكتوبر الجيزه "/>
    <x v="4"/>
    <s v="هومزمارت"/>
    <s v="سرير"/>
    <s v="دورين"/>
    <s v="كيفنج"/>
    <n v="120"/>
    <s v="رمادى"/>
    <s v="رمادي"/>
    <s v="سرير كيفنج ١٢٠ رمادى "/>
    <n v="12999"/>
    <s v="مسبق الدفع"/>
    <d v="2024-09-14T00:00:00"/>
    <d v="2024-09-27T00:00:00"/>
    <d v="2024-10-02T00:00:00"/>
    <n v="1"/>
    <s v="في الموعد"/>
    <n v="18"/>
    <s v="تم التسليم محمود علي"/>
    <s v="تم التسليم"/>
  </r>
  <r>
    <n v="40"/>
    <n v="1423361"/>
    <n v="1207484"/>
    <s v="على السيد "/>
    <s v="فرد"/>
    <s v="الشروق القاهره "/>
    <x v="15"/>
    <s v="هومزمارت"/>
    <s v="سرير"/>
    <s v="دورين"/>
    <s v="نوفال"/>
    <n v="90"/>
    <s v="اسود "/>
    <s v="اسود"/>
    <s v="سرير نوفال  ٩٠ اسود "/>
    <n v="5999"/>
    <s v="مسبق الدفع"/>
    <d v="2024-09-12T00:00:00"/>
    <d v="2024-09-29T00:00:00"/>
    <m/>
    <m/>
    <m/>
    <m/>
    <s v="ملغي"/>
    <s v="لاغي"/>
  </r>
  <r>
    <n v="41"/>
    <n v="1415725"/>
    <n v="1204732"/>
    <s v="هشام بسيونى "/>
    <s v="فرد"/>
    <s v="حدايق الاهرام "/>
    <x v="16"/>
    <s v="هومزمارت"/>
    <s v="سرير"/>
    <s v="دورين"/>
    <s v="كيفنج"/>
    <n v="100"/>
    <s v="اسود "/>
    <s v="اسود"/>
    <s v="            ٢ سرير كيفنج ١٠٠ اسود "/>
    <n v="11949"/>
    <n v="10749"/>
    <d v="2024-09-12T00:00:00"/>
    <d v="2024-09-29T00:00:00"/>
    <d v="2024-10-02T00:00:00"/>
    <n v="1"/>
    <s v="في الموعد"/>
    <n v="20"/>
    <s v="تم التسليم محمود علي"/>
    <s v="تم التسليم"/>
  </r>
  <r>
    <n v="42"/>
    <n v="1415726"/>
    <n v="1204732"/>
    <s v="هشام بسيونى "/>
    <s v="فرد"/>
    <s v="حدايق الاهرام "/>
    <x v="16"/>
    <s v="هومزمارت"/>
    <s v="سرير"/>
    <s v="دورين"/>
    <s v="كيفنج"/>
    <n v="100"/>
    <s v="اسود "/>
    <s v="اسود"/>
    <s v="            ٢ سرير كيفنج ١٠٠ اسود "/>
    <n v="11949"/>
    <n v="10749"/>
    <d v="2024-09-12T00:00:00"/>
    <d v="2024-09-29T00:00:00"/>
    <d v="2024-10-02T00:00:00"/>
    <n v="1"/>
    <s v="في الموعد"/>
    <n v="20"/>
    <s v="تم التسليم محمود علي"/>
    <s v="تم التسليم"/>
  </r>
  <r>
    <n v="43"/>
    <n v="1499397"/>
    <n v="1228586"/>
    <s v="احمد "/>
    <s v="فرد"/>
    <s v="الشروق القاهره "/>
    <x v="15"/>
    <s v="هومزمارت"/>
    <s v="سرير"/>
    <s v="ثلاثه ادوار"/>
    <s v="كيفنج"/>
    <n v="80"/>
    <s v="ابيض"/>
    <s v="ابيض"/>
    <s v="سرير ٣ ادوار ابيض مقاس ٨٠ ابيض "/>
    <n v="16599"/>
    <s v="مسبق الدفع"/>
    <d v="2024-09-13T00:00:00"/>
    <d v="2024-09-30T00:00:00"/>
    <d v="2024-10-03T00:00:00"/>
    <n v="1"/>
    <s v="في الموعد"/>
    <n v="20"/>
    <s v="تم التسليم محمود علي"/>
    <s v="تم التسليم"/>
  </r>
  <r>
    <n v="44"/>
    <n v="1458696"/>
    <n v="1217982"/>
    <s v="ساره وجيه "/>
    <s v="فرد"/>
    <s v="الغردقه "/>
    <x v="3"/>
    <s v="هومزمارت"/>
    <s v="سرير"/>
    <s v="دورين"/>
    <s v="كيفنج"/>
    <n v="80"/>
    <s v="ابيض"/>
    <s v="ابيض"/>
    <s v="سرير كيفنج دورين مقاس ٨٠ ابيض "/>
    <n v="10999"/>
    <s v="مسبق الدفع"/>
    <d v="2024-09-13T00:00:00"/>
    <d v="2024-09-30T00:00:00"/>
    <d v="2024-10-16T00:00:00"/>
    <n v="1"/>
    <s v="في الموعد"/>
    <n v="33"/>
    <s v="تم التسليم عن طريق شركه شحن "/>
    <s v="تم التسليم"/>
  </r>
  <r>
    <n v="45"/>
    <n v="1480814"/>
    <n v="1223964"/>
    <s v="مها "/>
    <s v="فرد"/>
    <s v="لافيستا العين السخنه "/>
    <x v="13"/>
    <s v="هومزمارت"/>
    <s v="سرير"/>
    <s v="دورين"/>
    <s v="كيفنج"/>
    <n v="140"/>
    <s v="ازرق"/>
    <s v="ازرق"/>
    <s v="سرير استيل ازرق مقاس ١٤٠"/>
    <n v="13099"/>
    <s v="مسبق الدفع"/>
    <d v="2024-09-13T00:00:00"/>
    <d v="2024-09-30T00:00:00"/>
    <d v="2024-10-03T00:00:00"/>
    <n v="1"/>
    <s v="في الموعد"/>
    <n v="20"/>
    <s v="تم التسليم عن طريق شركه شحن "/>
    <s v="تم التسليم"/>
  </r>
  <r>
    <n v="46"/>
    <n v="1492471"/>
    <n v="1227052"/>
    <s v="بسام الشربينى "/>
    <s v="فرد"/>
    <s v="٦ اكتوبر الجيزه "/>
    <x v="4"/>
    <s v="هومزمارت"/>
    <s v="سرير"/>
    <s v="دورين"/>
    <s v="كينج"/>
    <n v="120"/>
    <s v="بنفسجى"/>
    <s v="بنفسجي"/>
    <s v="سرير كينج ١٢٠ بنفسجى "/>
    <n v="13849"/>
    <s v="مسبق الدفع"/>
    <d v="2024-09-13T00:00:00"/>
    <d v="2024-09-30T00:00:00"/>
    <d v="2024-10-20T00:00:00"/>
    <n v="1"/>
    <s v="في الموعد"/>
    <n v="37"/>
    <s v="تم التسليم محمود علي"/>
    <s v="تم التسليم"/>
  </r>
  <r>
    <n v="47"/>
    <n v="1507912"/>
    <n v="1230527"/>
    <s v="هبه عبد الفتاح "/>
    <s v="فرد"/>
    <s v="القاهره الجديده "/>
    <x v="10"/>
    <s v="هومزمارت"/>
    <s v="كنبه"/>
    <s v="4*1"/>
    <m/>
    <m/>
    <s v="اسود "/>
    <s v="رمادى"/>
    <s v="كنبه سرير ٤ حركه اسود"/>
    <n v="21999"/>
    <s v="مسبق الدفع"/>
    <d v="2024-09-13T00:00:00"/>
    <d v="2024-09-30T00:00:00"/>
    <m/>
    <m/>
    <m/>
    <m/>
    <s v="تم التسليم محمود علي"/>
    <s v="تم التسليم"/>
  </r>
  <r>
    <n v="48"/>
    <n v="1525747"/>
    <n v="1234936"/>
    <s v="اسراء ابراهيم "/>
    <s v="فرد"/>
    <s v="٦ اكتوبر الجيزه "/>
    <x v="4"/>
    <s v="هومزمارت"/>
    <s v="سرير"/>
    <s v="دورين"/>
    <s v="كيفنج"/>
    <n v="80"/>
    <s v="ابيض"/>
    <s v="ابيض"/>
    <s v="سرير كيفنج دورين مقاس ٨٠ ابيض "/>
    <n v="10999"/>
    <s v="مسبق الدفع"/>
    <d v="2024-09-13T00:00:00"/>
    <d v="2024-09-30T00:00:00"/>
    <d v="2024-10-15T00:00:00"/>
    <n v="1"/>
    <s v="في الموعد"/>
    <n v="32"/>
    <s v="تم التسليم محمود علي"/>
    <s v="تم التسليم"/>
  </r>
  <r>
    <n v="49"/>
    <n v="1536313"/>
    <n v="1237601"/>
    <s v="طارق كمال "/>
    <s v="فرد"/>
    <s v="المعادى"/>
    <x v="11"/>
    <s v="هومزمارت"/>
    <s v="سرير"/>
    <s v="ثلاثه ادوار"/>
    <s v="كيفنج"/>
    <n v="90"/>
    <s v="اسود "/>
    <s v="اسود"/>
    <s v="سرير ٣ ادوار اسود مقاس ٩٠ "/>
    <n v="17249"/>
    <s v="مسبق الدفع"/>
    <d v="2024-09-13T00:00:00"/>
    <d v="2024-09-30T00:00:00"/>
    <d v="2024-10-04T00:00:00"/>
    <n v="1"/>
    <s v="في الموعد"/>
    <n v="21"/>
    <s v="تم التسليم محمود علي"/>
    <s v="تم التسليم"/>
  </r>
  <r>
    <n v="50"/>
    <n v="1505609"/>
    <n v="1230031"/>
    <s v="ديفد بهجت "/>
    <s v="فرد"/>
    <s v="فيصل الجيزه"/>
    <x v="0"/>
    <s v="هومزمارت"/>
    <s v="ترابيزه"/>
    <s v="2 ميكانزم"/>
    <m/>
    <m/>
    <m/>
    <m/>
    <s v="تربيزه قهوه ٢ رافع"/>
    <n v="8349"/>
    <s v="مسبق الدفع"/>
    <d v="2024-09-14T00:00:00"/>
    <d v="2024-10-16T00:00:00"/>
    <d v="2024-10-21T00:00:00"/>
    <n v="1"/>
    <s v="في الموعد"/>
    <n v="37"/>
    <s v="تم التسليم محمود علي"/>
    <s v="تم التسليم"/>
  </r>
  <r>
    <n v="51"/>
    <n v="1612229"/>
    <n v="1254076"/>
    <s v="اياد "/>
    <s v="فرد"/>
    <s v="المقطم "/>
    <x v="17"/>
    <s v="هومزمارت"/>
    <s v="ترابيزه"/>
    <s v="بمكتبة"/>
    <m/>
    <m/>
    <m/>
    <m/>
    <s v="ترابيزه قهوه متحركه "/>
    <n v="7849"/>
    <s v="مسبق الدفع"/>
    <d v="2024-09-14T00:00:00"/>
    <d v="2024-10-29T00:00:00"/>
    <d v="2024-10-30T00:00:00"/>
    <n v="1"/>
    <s v="في الموعد"/>
    <n v="46"/>
    <s v="تم التسليم محمود علي"/>
    <s v="تم التسليم"/>
  </r>
  <r>
    <n v="52"/>
    <n v="1673771"/>
    <n v="1269559"/>
    <s v="ميار خورشد"/>
    <s v="فرد"/>
    <s v="٦ اكتوبر الجيزه "/>
    <x v="4"/>
    <s v="هومزمارت"/>
    <s v="سرير"/>
    <s v="منطبق"/>
    <m/>
    <m/>
    <s v="اسود "/>
    <s v="اسود"/>
    <s v="سرير منطبق اسود حديد ومعدن "/>
    <n v="9399"/>
    <s v="مسبق الدفع "/>
    <d v="2024-09-14T00:00:00"/>
    <d v="2024-10-29T00:00:00"/>
    <d v="2024-10-15T00:00:00"/>
    <n v="0"/>
    <s v="متاخر"/>
    <n v="31"/>
    <s v="تم التسليم محمود علي"/>
    <s v="تم التسليم"/>
  </r>
  <r>
    <n v="53"/>
    <n v="1667352"/>
    <n v="1267819"/>
    <s v="عبد الله سيد "/>
    <s v="فرد"/>
    <s v="الشيخ زايد ٦ اكتوبر "/>
    <x v="18"/>
    <s v="هومزمارت"/>
    <s v="سرير"/>
    <s v="فردى"/>
    <s v="اسبانى"/>
    <n v="140"/>
    <s v="اسود "/>
    <s v="بيج"/>
    <s v="سرير اسبانى  ١٤٠ اسود وبيج "/>
    <n v="11817"/>
    <s v="مسبق الدفع "/>
    <d v="2024-09-14T00:00:00"/>
    <d v="2024-10-29T00:00:00"/>
    <d v="2024-10-15T00:00:00"/>
    <n v="0"/>
    <s v="متاخر"/>
    <n v="31"/>
    <s v="تم التسليم محمود علي"/>
    <s v="تم التسليم"/>
  </r>
  <r>
    <n v="54"/>
    <n v="1649781"/>
    <n v="1263160"/>
    <s v="كينج سونا "/>
    <s v="فرد"/>
    <s v="الشروق القاهره "/>
    <x v="15"/>
    <s v="هومزمارت"/>
    <s v="ترابيزه"/>
    <s v="رف سحاب"/>
    <m/>
    <m/>
    <m/>
    <m/>
    <s v="ترابيزه قهوه علويه برف سحاب "/>
    <n v="8349"/>
    <s v="مسبق الدفع "/>
    <d v="2024-09-14T00:00:00"/>
    <d v="2024-10-29T00:00:00"/>
    <d v="2024-10-19T00:00:00"/>
    <n v="0"/>
    <s v="متاخر"/>
    <n v="35"/>
    <s v="تم التسليم محمود علي"/>
    <s v="تم التسليم"/>
  </r>
  <r>
    <n v="55"/>
    <n v="1681476"/>
    <n v="1271813"/>
    <s v="احمد خالد "/>
    <s v="فرد"/>
    <s v="الرحاب"/>
    <x v="19"/>
    <s v="هومزمارت"/>
    <s v="سرير"/>
    <s v="فردى"/>
    <s v="فورجينا"/>
    <n v="120"/>
    <s v="ابيض"/>
    <s v="ابيض"/>
    <s v=" ٢. سرير فورجينا ابيض مقاس ١٢٠"/>
    <n v="17886"/>
    <s v="مسبق الدفع "/>
    <d v="2024-09-14T00:00:00"/>
    <d v="2024-10-29T00:00:00"/>
    <m/>
    <m/>
    <m/>
    <m/>
    <s v="ملغي"/>
    <s v="لاغي"/>
  </r>
  <r>
    <n v="56"/>
    <n v="1681477"/>
    <n v="1271813"/>
    <s v="احمد خالد "/>
    <s v="فرد"/>
    <s v="الرحاب"/>
    <x v="19"/>
    <s v="هومزمارت"/>
    <s v="سرير"/>
    <s v="فردى"/>
    <s v="فورجينا"/>
    <n v="120"/>
    <s v="ابيض"/>
    <s v="ابيض"/>
    <s v=" ٢. سرير فورجينا ابيض مقاس ١٢٠"/>
    <n v="17886"/>
    <s v="مسبق الدفع "/>
    <d v="2024-09-14T00:00:00"/>
    <d v="2024-10-29T00:00:00"/>
    <m/>
    <m/>
    <m/>
    <m/>
    <s v="ملغي"/>
    <s v="لاغي"/>
  </r>
  <r>
    <n v="57"/>
    <n v="1677530"/>
    <n v="1270704"/>
    <s v="ساره"/>
    <s v="فرد"/>
    <s v="القاهره الجديده"/>
    <x v="10"/>
    <s v="هومزمارت"/>
    <s v="سرير"/>
    <s v="فردى"/>
    <s v="اسبانى"/>
    <n v="120"/>
    <s v="ابيض"/>
    <s v="ابيض"/>
    <s v="   ٢. سرير اسبانى ابيض ١٢٠"/>
    <n v="10987"/>
    <s v="مسبق الدفع"/>
    <d v="2024-09-14T00:00:00"/>
    <d v="2024-10-29T00:00:00"/>
    <d v="2024-10-13T00:00:00"/>
    <n v="0"/>
    <s v="متاخر"/>
    <n v="29"/>
    <s v="تم التسليم محمود علي"/>
    <s v="تم التسليم"/>
  </r>
  <r>
    <n v="58"/>
    <n v="1677528"/>
    <n v="1270704"/>
    <s v="ساره"/>
    <s v="فرد"/>
    <s v="القاهره الجديده"/>
    <x v="10"/>
    <s v="هومزمارت"/>
    <s v="سرير"/>
    <s v="فردى"/>
    <s v="اسبانى"/>
    <n v="120"/>
    <s v="ابيض"/>
    <s v="ابيض"/>
    <s v="   ٢. سرير اسبانى ابيض ١٢٠"/>
    <n v="10987"/>
    <s v="مسبق الدفع"/>
    <d v="2024-09-14T00:00:00"/>
    <d v="2024-10-29T00:00:00"/>
    <d v="2024-10-13T00:00:00"/>
    <n v="0"/>
    <s v="متاخر"/>
    <n v="29"/>
    <s v="تم التسليم محمود علي"/>
    <s v="تم التسليم"/>
  </r>
  <r>
    <n v="59"/>
    <n v="1657744"/>
    <n v="1265268"/>
    <s v="احمد ايمن "/>
    <s v="فرد"/>
    <s v="العبور"/>
    <x v="20"/>
    <s v="هومزمارت"/>
    <s v="ترابيزه"/>
    <s v="2 ميكانزم"/>
    <m/>
    <m/>
    <m/>
    <m/>
    <s v="ترابيزه قهوه علويه جديده "/>
    <n v="10319"/>
    <s v="مسبق الدفع"/>
    <d v="2024-09-14T00:00:00"/>
    <d v="2024-10-29T00:00:00"/>
    <d v="2024-10-19T00:00:00"/>
    <n v="0"/>
    <s v="متاخر"/>
    <n v="35"/>
    <s v="تم التسليم محمود علي"/>
    <s v="تم التسليم"/>
  </r>
  <r>
    <n v="60"/>
    <n v="1610613"/>
    <n v="1253646"/>
    <s v="مصطفي غنيم "/>
    <s v="فرد"/>
    <s v="اسيوط "/>
    <x v="21"/>
    <s v="هومزمارت"/>
    <s v="سرير"/>
    <s v="دورين"/>
    <s v="كيفنج"/>
    <n v="120"/>
    <s v="رمادى"/>
    <s v="رمادي"/>
    <s v="سرير كيفنج دورين مقاس ١٢٠ رمادى "/>
    <n v="12999"/>
    <s v="مسبق الدفع "/>
    <d v="2024-09-14T00:00:00"/>
    <d v="2024-11-20T00:00:00"/>
    <d v="2024-10-17T00:00:00"/>
    <n v="0"/>
    <s v="متاخر"/>
    <n v="33"/>
    <s v="تم التسليم عن طريق شركه شحن "/>
    <s v="تم التسليم"/>
  </r>
  <r>
    <n v="61"/>
    <n v="1608468"/>
    <n v="1253172"/>
    <s v="حسام عبدون"/>
    <s v="فرد"/>
    <s v="الغردقه"/>
    <x v="3"/>
    <s v="هومزمارت"/>
    <s v="كنبه"/>
    <s v="4*1"/>
    <m/>
    <m/>
    <s v="اسود "/>
    <s v="رمادى"/>
    <s v="كنبه سرير ٤ حركه اسود"/>
    <n v="21999"/>
    <s v="مسبق الدفع"/>
    <d v="2024-09-14T00:00:00"/>
    <d v="2024-11-20T00:00:00"/>
    <m/>
    <m/>
    <m/>
    <m/>
    <s v="ملغي"/>
    <s v="لاغي"/>
  </r>
  <r>
    <n v="62"/>
    <n v="1654554"/>
    <n v="1264469"/>
    <s v="رامى "/>
    <s v="فرد"/>
    <s v="الشروق القاهره "/>
    <x v="15"/>
    <s v="هومزمارت"/>
    <s v="سرير"/>
    <s v="دورين"/>
    <s v="نوفال"/>
    <n v="100"/>
    <s v="رمادى"/>
    <s v="رمادي"/>
    <s v="سرير نوفال ١٠٠ رمادى "/>
    <n v="12399"/>
    <s v="مسبق الدفع"/>
    <d v="2024-09-14T00:00:00"/>
    <d v="2024-11-20T00:00:00"/>
    <d v="2024-10-01T00:00:00"/>
    <n v="0"/>
    <s v="متاخر"/>
    <n v="17"/>
    <s v="تم التسليم عن طريق شركه شحن "/>
    <s v="تم التسليم"/>
  </r>
  <r>
    <n v="63"/>
    <n v="1644504"/>
    <n v="1261644"/>
    <s v="رحاب"/>
    <s v="فرد"/>
    <s v="القاهره الجديده"/>
    <x v="10"/>
    <s v="هومزمارت"/>
    <s v="كنبه"/>
    <s v="4*1"/>
    <m/>
    <m/>
    <s v="اسود "/>
    <s v="رمادى"/>
    <s v="كنبه سرير ٤ حركه اسود"/>
    <n v="21999"/>
    <s v="مسبق الدفع"/>
    <d v="2024-09-14T00:00:00"/>
    <d v="2024-11-20T00:00:00"/>
    <d v="2024-10-09T00:00:00"/>
    <n v="0"/>
    <s v="متاخر"/>
    <n v="25"/>
    <s v="تم التسليم محمود علي"/>
    <s v="تم التسليم"/>
  </r>
  <r>
    <n v="64"/>
    <n v="1655447"/>
    <n v="1264684"/>
    <s v="فؤاد المنسي "/>
    <s v="فرد"/>
    <s v="المقطم "/>
    <x v="17"/>
    <s v="هومزمارت"/>
    <s v="سرير"/>
    <s v="دورين"/>
    <s v="نوفال"/>
    <n v="80"/>
    <s v="ابيض"/>
    <s v="ابيض"/>
    <s v="سرير نوفال ابيض مقاس 80 "/>
    <n v="10999"/>
    <s v="مسبق الدفع "/>
    <d v="2024-09-14T00:00:00"/>
    <d v="2024-11-20T00:00:00"/>
    <d v="2024-10-16T00:00:00"/>
    <n v="0"/>
    <s v="متاخر"/>
    <n v="32"/>
    <s v="تم التسليم محمود علي"/>
    <s v="تم التسليم"/>
  </r>
  <r>
    <n v="65"/>
    <n v="1679731"/>
    <n v="1271291"/>
    <s v="mohannad"/>
    <s v="فرد"/>
    <s v="EL-Maadi"/>
    <x v="11"/>
    <s v="هومزمارت"/>
    <s v="سرير"/>
    <s v="دورين"/>
    <s v="كيفنج"/>
    <n v="80"/>
    <s v="ابيض"/>
    <s v="ابيض"/>
    <s v="سرير كيفنج دورين مقاس ٨٠ ابيض "/>
    <n v="10999"/>
    <s v="مسبق الدفع "/>
    <d v="2024-09-15T00:00:00"/>
    <d v="2024-11-20T00:00:00"/>
    <d v="2024-10-16T00:00:00"/>
    <n v="0"/>
    <s v="متاخر"/>
    <n v="31"/>
    <s v="تم التسليم محمود علي"/>
    <s v="تم التسليم"/>
  </r>
  <r>
    <n v="66"/>
    <n v="1679739"/>
    <n v="1271291"/>
    <s v="mohannad"/>
    <s v="فرد"/>
    <s v="EL-Maadi"/>
    <x v="11"/>
    <s v="هومزمارت"/>
    <s v="سرير"/>
    <s v="دورين"/>
    <s v="كيفنج"/>
    <n v="80"/>
    <s v="ابيض"/>
    <s v="ابيض"/>
    <s v="سرير كيفنج دورين مقاس ٨٠ ابيض "/>
    <n v="10999"/>
    <s v="مسبق الدفع "/>
    <d v="2024-09-15T00:00:00"/>
    <d v="2024-11-20T00:00:00"/>
    <d v="2024-10-16T00:00:00"/>
    <n v="0"/>
    <s v="متاخر"/>
    <n v="31"/>
    <s v="تم التسليم محمود علي"/>
    <s v="تم التسليم"/>
  </r>
  <r>
    <n v="67"/>
    <n v="1670668"/>
    <n v="1268695"/>
    <s v="Mohamed Ayman"/>
    <s v="فرد"/>
    <s v="Madinet Badr"/>
    <x v="22"/>
    <s v="هومزمارت"/>
    <s v="كنبه"/>
    <s v="4*1"/>
    <m/>
    <m/>
    <s v="اسود "/>
    <s v="رمادى"/>
    <s v="كنبه سرير ٤ حركه اسود"/>
    <n v="21999"/>
    <s v="مسبق الدفع "/>
    <d v="2024-09-15T00:00:00"/>
    <d v="2024-11-20T00:00:00"/>
    <d v="2024-10-19T00:00:00"/>
    <n v="0"/>
    <s v="متاخر"/>
    <n v="34"/>
    <s v="تم التسليم محمود علي"/>
    <s v="تم التسليم"/>
  </r>
  <r>
    <n v="68"/>
    <n v="1416625"/>
    <n v="1205197"/>
    <s v="اسامه"/>
    <s v="فرد"/>
    <s v="العين السخنه"/>
    <x v="13"/>
    <s v="هومزمارت"/>
    <s v="ترابيزه"/>
    <s v="2 ميكانزم"/>
    <m/>
    <m/>
    <m/>
    <m/>
    <s v="ترابيزه قهوه علويه جديده "/>
    <n v="7849"/>
    <n v="6306"/>
    <d v="2024-09-16T00:00:00"/>
    <d v="2024-10-30T00:00:00"/>
    <d v="2024-11-14T00:00:00"/>
    <n v="1"/>
    <s v="في الموعد"/>
    <n v="59"/>
    <s v="تم التسليم عن طريق شركه شحن "/>
    <s v="تم التسليم"/>
  </r>
  <r>
    <n v="69"/>
    <m/>
    <m/>
    <s v="اوسكار راتن"/>
    <s v="شركات"/>
    <s v="المخزن ابو الغيط "/>
    <x v="23"/>
    <s v="اوسكار ريتن "/>
    <s v="سرير"/>
    <s v="دورين"/>
    <s v="كيفنج"/>
    <n v="80"/>
    <s v="ابيض"/>
    <s v="ابيض"/>
    <s v="سرير كيفنج دورين مقاس ٨٠ ابيض "/>
    <n v="5074"/>
    <s v="حساب شركه"/>
    <d v="2024-09-21T00:00:00"/>
    <d v="2024-10-05T00:00:00"/>
    <d v="2024-10-12T00:00:00"/>
    <n v="1"/>
    <s v="في الموعد"/>
    <n v="21"/>
    <s v="تم التسليم محمود علي"/>
    <s v="تم التسليم"/>
  </r>
  <r>
    <n v="70"/>
    <n v="2514"/>
    <n v="2514"/>
    <s v="تاكى "/>
    <s v="شركات"/>
    <s v="العباسيه"/>
    <x v="6"/>
    <s v="تاكى"/>
    <s v="سرير"/>
    <s v="دورين"/>
    <s v="كينج"/>
    <n v="100"/>
    <s v="اسود وبنى"/>
    <m/>
    <s v="سرير كينج دورين اسود وبني مقاس 100"/>
    <n v="6250"/>
    <s v="حساب شركه"/>
    <d v="2024-09-23T00:00:00"/>
    <d v="2024-10-08T00:00:00"/>
    <d v="2024-10-17T00:00:00"/>
    <n v="1"/>
    <s v="في الموعد"/>
    <n v="24"/>
    <s v="تم التسليم محمود علي"/>
    <s v="تم التسليم"/>
  </r>
  <r>
    <n v="71"/>
    <n v="2514"/>
    <n v="2514"/>
    <s v="تاكى "/>
    <s v="شركات"/>
    <s v="العباسيه"/>
    <x v="6"/>
    <s v="تاكى"/>
    <s v="سرير"/>
    <s v="دورين"/>
    <s v="كينج"/>
    <n v="100"/>
    <s v="اسود وبنى"/>
    <m/>
    <s v="سرير كينج دورين اسود وبني مقاس 100"/>
    <n v="6250"/>
    <s v="حساب شركه"/>
    <d v="2024-09-23T00:00:00"/>
    <d v="2024-10-08T00:00:00"/>
    <d v="2024-10-17T00:00:00"/>
    <n v="1"/>
    <s v="في الموعد"/>
    <n v="24"/>
    <s v="تم التسليم محمود علي"/>
    <s v="تم التسليم"/>
  </r>
  <r>
    <n v="72"/>
    <n v="1706794"/>
    <n v="1281428"/>
    <s v="ولاء بدوى"/>
    <s v="فرد"/>
    <s v="العباسيه"/>
    <x v="6"/>
    <s v="هومزمارت"/>
    <s v="سرير"/>
    <s v="فردى"/>
    <s v="فورجينا"/>
    <n v="120"/>
    <s v="ابيض"/>
    <m/>
    <s v="سرير فورجينا ابيض مقاس ١٢٠"/>
    <n v="8943"/>
    <n v="9033"/>
    <d v="2024-09-26T00:00:00"/>
    <d v="2024-11-10T00:00:00"/>
    <d v="2024-10-10T00:00:00"/>
    <n v="0"/>
    <s v="متاخر"/>
    <n v="14"/>
    <s v="تم التسليم محمود علي"/>
    <s v="تم التسليم"/>
  </r>
  <r>
    <n v="73"/>
    <n v="1704621"/>
    <n v="1280197"/>
    <s v="عبد الرحمن يسري"/>
    <s v="فرد"/>
    <s v="٦ اكتوبر الجيزه "/>
    <x v="4"/>
    <s v="هومزمارت"/>
    <s v="ترابيزه"/>
    <s v="رف سحاب"/>
    <m/>
    <m/>
    <m/>
    <m/>
    <s v="ترابيزه قهوه علويه برف سحاب"/>
    <n v="8349"/>
    <n v="8433"/>
    <d v="2024-09-26T00:00:00"/>
    <d v="2024-11-10T00:00:00"/>
    <m/>
    <m/>
    <m/>
    <m/>
    <s v="ملغي"/>
    <s v="لاغي"/>
  </r>
  <r>
    <n v="74"/>
    <n v="240078066"/>
    <m/>
    <s v="شيك هومز "/>
    <s v="شركات"/>
    <s v="التجمع"/>
    <x v="24"/>
    <s v="شيك هومز "/>
    <s v="كنبه"/>
    <s v="4*1"/>
    <m/>
    <m/>
    <s v="اسود "/>
    <s v="نبيتى "/>
    <s v="كنبه سرير ٤ حركه اسود والقماش نبيتي"/>
    <n v="14950"/>
    <s v="مسبق الدفع"/>
    <d v="2024-09-26T00:00:00"/>
    <d v="2024-10-14T00:00:00"/>
    <d v="2024-10-13T00:00:00"/>
    <n v="0"/>
    <s v="متاخر"/>
    <n v="17"/>
    <s v="تم التسليم محمود علي"/>
    <s v="تم التسليم"/>
  </r>
  <r>
    <n v="75"/>
    <n v="240077789"/>
    <m/>
    <s v="شيك هومز "/>
    <s v="شركات"/>
    <m/>
    <x v="4"/>
    <s v="شيك هومز "/>
    <s v="سرير"/>
    <s v="دورين"/>
    <s v="كينج"/>
    <n v="100"/>
    <s v="اسود "/>
    <m/>
    <s v="سرير كينج دورين اسود مقاس 100"/>
    <n v="9208"/>
    <n v="9608"/>
    <d v="2024-09-26T00:00:00"/>
    <d v="2024-10-14T00:00:00"/>
    <m/>
    <m/>
    <m/>
    <m/>
    <s v="ملغي"/>
    <s v="لاغي"/>
  </r>
  <r>
    <n v="76"/>
    <n v="240078390"/>
    <m/>
    <s v="شيك هومز "/>
    <s v="شركات"/>
    <m/>
    <x v="4"/>
    <s v="شيك هومز "/>
    <s v="سرير"/>
    <s v="فردى"/>
    <s v="اسبانى"/>
    <n v="120"/>
    <s v="ابيض"/>
    <m/>
    <s v="سرير اسبانى ابيض ١٢٠"/>
    <n v="7433"/>
    <s v="مسبق الدفع"/>
    <d v="2024-09-29T00:00:00"/>
    <d v="2024-10-20T00:00:00"/>
    <d v="2024-10-21T00:00:00"/>
    <n v="1"/>
    <s v="في الموعد"/>
    <n v="22"/>
    <s v="تم التسليم محمود علي"/>
    <s v="تم التسليم"/>
  </r>
  <r>
    <n v="77"/>
    <m/>
    <m/>
    <s v="اوسكار راتن"/>
    <s v="شركات"/>
    <s v="المخزن ابو الغيط "/>
    <x v="23"/>
    <s v="اوسكار ريتن "/>
    <s v="سرير"/>
    <s v="فردى"/>
    <s v="فورجينا"/>
    <n v="120"/>
    <s v="ابيض"/>
    <m/>
    <s v="سرير فورجينا ابيض مقاس ١٢٠"/>
    <n v="4020"/>
    <s v="حساب شركه"/>
    <d v="2024-09-29T00:00:00"/>
    <d v="2024-10-12T00:00:00"/>
    <d v="2024-10-12T00:00:00"/>
    <n v="1"/>
    <s v="في الموعد"/>
    <n v="13"/>
    <s v="تم التسليم محمود علي"/>
    <s v="تم التسليم"/>
  </r>
  <r>
    <n v="78"/>
    <m/>
    <m/>
    <s v="الحج محمد السويس"/>
    <s v="فرد"/>
    <s v="السويس "/>
    <x v="25"/>
    <s v="السويس"/>
    <s v="سرير"/>
    <s v="دورين"/>
    <s v="فانتاستك"/>
    <n v="100"/>
    <s v="ملون"/>
    <m/>
    <s v="سرير فانتاستك دورين مقاس 100"/>
    <n v="8544.9054400000005"/>
    <m/>
    <d v="2024-10-01T00:00:00"/>
    <d v="2024-10-09T00:00:00"/>
    <d v="2024-10-09T00:00:00"/>
    <n v="1"/>
    <s v="في الموعد"/>
    <n v="8"/>
    <s v="تم التسليم بمعرفه الحج سيد "/>
    <s v="تم التسليم"/>
  </r>
  <r>
    <n v="79"/>
    <m/>
    <m/>
    <s v="الحج محمد السويس"/>
    <s v="فرد"/>
    <s v="السويس "/>
    <x v="25"/>
    <s v="السويس"/>
    <s v="سرير"/>
    <s v="منطبق"/>
    <m/>
    <m/>
    <s v="اسود "/>
    <s v="بيج"/>
    <s v="سرير منطبق اسود اسود والقماش بيج"/>
    <n v="4600"/>
    <m/>
    <d v="2024-10-01T00:00:00"/>
    <d v="2024-10-09T00:00:00"/>
    <d v="2024-10-09T00:00:00"/>
    <n v="1"/>
    <s v="في الموعد"/>
    <n v="8"/>
    <s v="تم التسليم بمعرفه الحج سيد "/>
    <s v="تم التسليم"/>
  </r>
  <r>
    <n v="80"/>
    <m/>
    <m/>
    <s v="الحج محمد السويس"/>
    <s v="فرد"/>
    <s v="السويس "/>
    <x v="25"/>
    <s v="السويس"/>
    <s v="كنبه"/>
    <s v="فنيسيا"/>
    <m/>
    <m/>
    <s v="اسود "/>
    <s v="رصاصي مشجر"/>
    <s v="كنبه فنيسيا اسود والقماش رصاصي مشجر"/>
    <n v="10000"/>
    <m/>
    <d v="2024-10-01T00:00:00"/>
    <d v="2024-10-09T00:00:00"/>
    <d v="2024-10-09T00:00:00"/>
    <n v="1"/>
    <s v="في الموعد"/>
    <n v="8"/>
    <s v="تم التسليم بمعرفه الحج سيد "/>
    <s v="تم التسليم"/>
  </r>
  <r>
    <n v="81"/>
    <m/>
    <m/>
    <s v="الحج محمد السويس"/>
    <s v="فرد"/>
    <s v="السويس "/>
    <x v="25"/>
    <s v="السويس"/>
    <s v="شيزلونج"/>
    <m/>
    <m/>
    <m/>
    <s v="اسود "/>
    <s v="نبيتى "/>
    <s v="شيزلونج اسود حديد والقماش نبيتي"/>
    <m/>
    <m/>
    <d v="2024-10-01T00:00:00"/>
    <d v="2024-10-09T00:00:00"/>
    <d v="2024-10-09T00:00:00"/>
    <n v="1"/>
    <s v="في الموعد"/>
    <n v="8"/>
    <s v="تم التسليم بمعرفه الحج سيد "/>
    <s v="تم التسليم"/>
  </r>
  <r>
    <n v="82"/>
    <n v="1282228"/>
    <n v="1708226"/>
    <s v="عمرو الأسود"/>
    <s v="فرد"/>
    <s v="الزمالك"/>
    <x v="26"/>
    <s v="هومزمارت"/>
    <s v="سرير"/>
    <s v="منطبق"/>
    <m/>
    <m/>
    <s v="اسود "/>
    <s v="اسود"/>
    <s v="سرير منطبق اسود والقماش اسود "/>
    <n v="8899"/>
    <n v="8988"/>
    <d v="2024-10-03T00:00:00"/>
    <d v="2024-11-17T00:00:00"/>
    <m/>
    <m/>
    <m/>
    <m/>
    <s v="ملغي"/>
    <s v="لاغي"/>
  </r>
  <r>
    <n v="83"/>
    <n v="240079328"/>
    <m/>
    <s v="شيك هومز "/>
    <s v="شركات"/>
    <s v="مخزن شيك هومز"/>
    <x v="27"/>
    <s v="شيك هومز "/>
    <s v="كنبه"/>
    <s v="4*1"/>
    <m/>
    <m/>
    <s v="اسود "/>
    <s v="بترولى "/>
    <s v="كنبه سرير ٤ حركه اسود والقماش بترولي"/>
    <n v="14550"/>
    <s v="مسبق الدفع"/>
    <d v="2024-10-08T00:00:00"/>
    <d v="2024-10-29T00:00:00"/>
    <d v="2024-10-30T00:00:00"/>
    <n v="1"/>
    <s v="في الموعد"/>
    <n v="22"/>
    <s v="تم التسليم محمود علي"/>
    <s v="تم التسليم"/>
  </r>
  <r>
    <n v="84"/>
    <n v="240078933"/>
    <m/>
    <s v="شيك هومز "/>
    <s v="شركات"/>
    <s v="٦ اكتوبر الجيزه "/>
    <x v="4"/>
    <s v="شيك هومز "/>
    <s v="كنبه"/>
    <s v="4*1"/>
    <m/>
    <m/>
    <s v="اسود "/>
    <s v="بترولى "/>
    <s v="كنبه سرير ٤ حركه اسود والقماش بترولي"/>
    <n v="14550"/>
    <s v="مسبق الدفع"/>
    <d v="2024-10-07T00:00:00"/>
    <d v="2024-10-29T00:00:00"/>
    <d v="2024-10-15T00:00:00"/>
    <n v="0"/>
    <s v="متاخر"/>
    <n v="8"/>
    <s v="تم التسليم محمود علي"/>
    <s v="تم التسليم"/>
  </r>
  <r>
    <n v="85"/>
    <n v="240079517"/>
    <m/>
    <s v="شيك هومز "/>
    <s v="شركات"/>
    <m/>
    <x v="4"/>
    <s v="شيك هومز "/>
    <s v="كنبه"/>
    <s v="4*1"/>
    <m/>
    <m/>
    <s v="اسود "/>
    <s v="نبيتى "/>
    <s v="كنبه سرير ٤ حركه اسود والقماش نبيتي"/>
    <n v="14550"/>
    <n v="11495"/>
    <d v="2024-10-10T00:00:00"/>
    <d v="2024-10-31T00:00:00"/>
    <d v="2024-11-02T00:00:00"/>
    <n v="1"/>
    <s v="في الموعد"/>
    <n v="23"/>
    <s v="تم التسليم محمود علي"/>
    <s v="تم التسليم"/>
  </r>
  <r>
    <n v="86"/>
    <n v="1714623"/>
    <n v="1284697"/>
    <s v="keira"/>
    <s v="فرد"/>
    <s v="القاهره الجديده "/>
    <x v="10"/>
    <s v="هومزمارت"/>
    <s v="سرير"/>
    <s v="دورين"/>
    <s v="نوفال "/>
    <s v="١٤٠/١٠٠"/>
    <s v="بينك"/>
    <m/>
    <s v="سرير نوفال بينك ١٤٠/١٠٠"/>
    <n v="12899"/>
    <n v="13028"/>
    <d v="2024-10-13T00:00:00"/>
    <d v="2024-12-17T00:00:00"/>
    <d v="2024-11-02T00:00:00"/>
    <n v="0"/>
    <s v="متاخر"/>
    <n v="20"/>
    <s v="تم التسليم محمود علي"/>
    <s v="تم التسليم"/>
  </r>
  <r>
    <n v="87"/>
    <n v="1715473"/>
    <n v="1285152"/>
    <s v="tarek"/>
    <s v="فرد"/>
    <s v="مصر الجديده"/>
    <x v="7"/>
    <s v="هومزمارت"/>
    <s v="سرير"/>
    <s v="دورين"/>
    <s v="كيفنج"/>
    <n v="80"/>
    <s v="ابيض"/>
    <s v="ابيض"/>
    <s v="سرير كيفنج دورين مقاس ٨٠ ابيض "/>
    <n v="10499"/>
    <s v="مسبق الدفع"/>
    <d v="2024-10-16T00:00:00"/>
    <d v="2024-12-19T00:00:00"/>
    <d v="2024-10-21T00:00:00"/>
    <n v="0"/>
    <s v="متاخر"/>
    <n v="5"/>
    <s v="تم التسليم محمود علي"/>
    <s v="تم التسليم"/>
  </r>
  <r>
    <n v="89"/>
    <n v="1715992"/>
    <n v="1285423"/>
    <s v="reem"/>
    <s v="فرد"/>
    <s v="البطاش اسكندريه"/>
    <x v="1"/>
    <s v="هومزمارت"/>
    <s v="سرير"/>
    <s v="دورين"/>
    <s v="نوفال"/>
    <s v="١٠٠/١٤٠"/>
    <s v="بينك"/>
    <m/>
    <s v="سرير نوفال بينك ١٠٠/١٤٠"/>
    <n v="12899"/>
    <s v="مسبق الدفع"/>
    <d v="2024-10-17T00:00:00"/>
    <d v="2024-12-22T00:00:00"/>
    <d v="2024-12-03T00:00:00"/>
    <n v="0"/>
    <s v="متاخر"/>
    <n v="47"/>
    <s v="تم التسليم عن طريق شركه شحن "/>
    <s v="تم التسليم"/>
  </r>
  <r>
    <n v="90"/>
    <s v="s03163"/>
    <m/>
    <s v="هشام سامى"/>
    <s v="فرد"/>
    <s v="41 كومبوند جولدن جستس الدور 4 شقه 4"/>
    <x v="17"/>
    <s v="منزلى "/>
    <s v="سرير"/>
    <s v="فردى"/>
    <s v="بلحه"/>
    <n v="140"/>
    <s v="نبيتى "/>
    <s v="خشب بنى فاتح"/>
    <s v="سرير فردي بلحه مقاس ١٤٠"/>
    <n v="5135"/>
    <s v="مسبق الدفع"/>
    <d v="2024-10-20T00:00:00"/>
    <d v="2024-11-17T00:00:00"/>
    <d v="2024-11-14T00:00:00"/>
    <n v="0"/>
    <s v="متاخر"/>
    <n v="25"/>
    <s v="تم التسليم محمود علي"/>
    <s v="تم التسليم"/>
  </r>
  <r>
    <n v="91"/>
    <n v="240080607"/>
    <m/>
    <s v="شيك هومز "/>
    <s v="شركات"/>
    <s v="٦ اكتوبر الجيزه "/>
    <x v="4"/>
    <s v="شيك هومز "/>
    <s v="سرير"/>
    <s v="دورين"/>
    <s v="فانتاستك"/>
    <n v="100"/>
    <s v="الوان"/>
    <m/>
    <s v="سرير فانتاستك دورين مقاس 100"/>
    <n v="12777.5"/>
    <n v="11277.5"/>
    <d v="2024-10-22T00:00:00"/>
    <d v="2024-11-12T00:00:00"/>
    <d v="2024-11-18T00:00:00"/>
    <n v="1"/>
    <s v="في الموعد"/>
    <n v="27"/>
    <s v="تم التسليم محمود علي"/>
    <s v="تم التسليم"/>
  </r>
  <r>
    <n v="92"/>
    <n v="240080607"/>
    <m/>
    <s v="شيك هومز "/>
    <s v="شركات"/>
    <s v="٦ اكتوبر الجيزه "/>
    <x v="4"/>
    <s v="شيك هومز "/>
    <s v="سرير"/>
    <s v="دورين"/>
    <s v="فانتاستك"/>
    <n v="100"/>
    <s v="الوان"/>
    <m/>
    <s v="سرير فانتاستك دورين مقاس 100"/>
    <n v="12777.5"/>
    <n v="11277.5"/>
    <d v="2024-10-22T00:00:00"/>
    <d v="2024-11-12T00:00:00"/>
    <d v="2024-11-18T00:00:00"/>
    <n v="1"/>
    <s v="في الموعد"/>
    <n v="27"/>
    <s v="تم التسليم محمود علي"/>
    <s v="تم التسليم"/>
  </r>
  <r>
    <n v="94"/>
    <n v="1717458"/>
    <n v="1286189"/>
    <s v="فاطمه محمد"/>
    <s v="فرد"/>
    <s v="٦ اكتوبر الجيزه "/>
    <x v="4"/>
    <s v="هومزمارت"/>
    <s v="سرير"/>
    <s v="فردى"/>
    <s v="فورجينا"/>
    <n v="120"/>
    <s v="ابيض"/>
    <m/>
    <s v="سرير فورجينا ابيض مقاس ١٢٠"/>
    <n v="8943"/>
    <n v="9007.01"/>
    <d v="2024-10-21T00:00:00"/>
    <d v="2024-11-14T00:00:00"/>
    <d v="2024-11-18T00:00:00"/>
    <n v="1"/>
    <s v="في الموعد"/>
    <n v="28"/>
    <s v="تم التسليم محمود علي"/>
    <s v="تم التسليم"/>
  </r>
  <r>
    <n v="95"/>
    <n v="240080858"/>
    <m/>
    <s v="شيك هومز "/>
    <s v="شركات"/>
    <m/>
    <x v="4"/>
    <s v="شيك هومز "/>
    <s v="كنبه"/>
    <s v="4*1"/>
    <m/>
    <m/>
    <s v="اسود "/>
    <s v="اسود"/>
    <s v="كنبه سرير ٤ حركه اسود "/>
    <n v="15516"/>
    <s v="مسبق الدفع"/>
    <d v="2024-10-24T00:00:00"/>
    <d v="2024-11-14T00:00:00"/>
    <d v="2024-10-30T00:00:00"/>
    <n v="0"/>
    <s v="متاخر"/>
    <n v="6"/>
    <s v="تم التسليم محمود علي"/>
    <s v="تم التسليم"/>
  </r>
  <r>
    <n v="96"/>
    <n v="240081061"/>
    <m/>
    <s v="شيك هومز "/>
    <s v="شركات"/>
    <m/>
    <x v="4"/>
    <s v="شيك هومز "/>
    <s v="سرير"/>
    <s v="دورين"/>
    <s v="كينج"/>
    <n v="100"/>
    <s v="اسود "/>
    <m/>
    <s v="سرير كينج دورين اسود مقاس 100"/>
    <n v="10045"/>
    <n v="8879"/>
    <d v="2024-10-26T00:00:00"/>
    <d v="2024-11-16T00:00:00"/>
    <m/>
    <m/>
    <m/>
    <m/>
    <s v="ملغي"/>
    <s v="لاغي"/>
  </r>
  <r>
    <n v="97"/>
    <n v="1718948"/>
    <n v="1286883"/>
    <s v="ساره"/>
    <s v="فرد"/>
    <s v="الشيخ زايد ٦ اكتوبر "/>
    <x v="18"/>
    <s v="هومزمارت"/>
    <s v="سرير"/>
    <s v="دورين"/>
    <s v="كينج"/>
    <n v="90"/>
    <s v="اسود "/>
    <m/>
    <s v="سرير كينج دورين اسود مقاس 90"/>
    <n v="11649"/>
    <n v="11749"/>
    <d v="2024-10-26T00:00:00"/>
    <d v="2024-11-10T00:00:00"/>
    <d v="2024-11-18T00:00:00"/>
    <n v="1"/>
    <s v="في الموعد"/>
    <n v="23"/>
    <s v="تم التسليم محمود علي"/>
    <s v="تم التسليم"/>
  </r>
  <r>
    <n v="98"/>
    <n v="1718949"/>
    <n v="1286883"/>
    <s v="ساره"/>
    <s v="فرد"/>
    <s v="الشيخ زايد ٦ اكتوبر "/>
    <x v="18"/>
    <s v="هومزمارت"/>
    <s v="سرير"/>
    <s v="دورين"/>
    <s v="كينج"/>
    <n v="90"/>
    <s v="اسود "/>
    <m/>
    <s v="سرير كينج دورين اسود مقاس 90"/>
    <n v="11649"/>
    <n v="11749"/>
    <d v="2024-10-26T00:00:00"/>
    <d v="2024-11-10T00:00:00"/>
    <d v="2024-11-18T00:00:00"/>
    <n v="1"/>
    <s v="في الموعد"/>
    <n v="23"/>
    <s v="تم التسليم محمود علي"/>
    <s v="تم التسليم"/>
  </r>
  <r>
    <n v="99"/>
    <m/>
    <m/>
    <s v="بولا هومزمارت"/>
    <s v="شركات"/>
    <s v="المعادى"/>
    <x v="11"/>
    <s v="هومزمارت"/>
    <s v="سرير"/>
    <s v="فردى"/>
    <s v="اسبانى"/>
    <n v="100"/>
    <s v="ابيض"/>
    <m/>
    <m/>
    <n v="5100"/>
    <n v="4800"/>
    <d v="2024-10-28T00:00:00"/>
    <d v="2024-11-11T00:00:00"/>
    <d v="2024-11-21T00:00:00"/>
    <n v="1"/>
    <s v="في الموعد"/>
    <n v="24"/>
    <s v="تم التسليم محمود علي"/>
    <s v="تم التسليم"/>
  </r>
  <r>
    <n v="100"/>
    <m/>
    <m/>
    <s v="بولا هومزمارت"/>
    <s v="شركات"/>
    <s v="المعادى"/>
    <x v="11"/>
    <s v="هومزمارت"/>
    <s v="سرير"/>
    <s v="فردى"/>
    <s v="اسبانى"/>
    <n v="120"/>
    <s v="ابيض"/>
    <m/>
    <s v="سرير اسبانى ابيض ١٢٠"/>
    <n v="5300"/>
    <n v="4800"/>
    <d v="2024-10-28T00:00:00"/>
    <d v="2024-11-11T00:00:00"/>
    <d v="2024-11-21T00:00:00"/>
    <n v="1"/>
    <s v="في الموعد"/>
    <n v="24"/>
    <s v="تم التسليم محمود علي"/>
    <s v="تم التسليم"/>
  </r>
  <r>
    <n v="101"/>
    <n v="1744766"/>
    <n v="1298738"/>
    <s v="محمد شكرى "/>
    <s v="فرد"/>
    <s v="مدينتى"/>
    <x v="28"/>
    <s v="هومزمارت"/>
    <s v="سرير"/>
    <s v="دورين"/>
    <s v="كيفنج"/>
    <n v="80"/>
    <s v="ابيض"/>
    <s v="ابيض"/>
    <s v="سرير كيفنج دورين مقاس ٨٠ ابيض "/>
    <n v="12099"/>
    <s v="مسبق الدفع"/>
    <d v="2024-11-11T00:00:00"/>
    <d v="2024-11-26T00:00:00"/>
    <d v="2024-11-27T00:00:00"/>
    <n v="1"/>
    <s v="في الموعد"/>
    <n v="16"/>
    <s v="تم التسليم محمود علي"/>
    <s v="تم التسليم"/>
  </r>
  <r>
    <n v="102"/>
    <n v="240082226"/>
    <m/>
    <s v="شيك هومز"/>
    <s v="شركات"/>
    <s v="مخزن شيك هومز"/>
    <x v="27"/>
    <s v="شيك هومز "/>
    <s v="كنبه"/>
    <s v="4*1"/>
    <s v="ارينا"/>
    <m/>
    <s v="اسود "/>
    <s v="بترولى"/>
    <s v="كنبه سرير ٤ حركه اسود والقماش بترولي"/>
    <n v="15872"/>
    <s v="مسبق"/>
    <d v="2024-11-08T00:00:00"/>
    <d v="2024-03-12T00:00:00"/>
    <d v="2024-11-14T00:00:00"/>
    <n v="1"/>
    <s v="في الموعد"/>
    <n v="6"/>
    <s v="تم التسليم محمود علي"/>
    <s v="تم التسليم"/>
  </r>
  <r>
    <n v="103"/>
    <s v="so3290"/>
    <m/>
    <s v="منزلى"/>
    <s v="فرد"/>
    <s v="التجمع الخامس"/>
    <x v="5"/>
    <s v="منزلى "/>
    <s v="سرير"/>
    <s v="فردى"/>
    <s v="فورجينا"/>
    <n v="120"/>
    <s v="ابيض"/>
    <m/>
    <s v="سرير فورجينا ابيض مقاس ١٢٠"/>
    <n v="4520"/>
    <s v="حساب شركه"/>
    <d v="2024-11-10T00:00:00"/>
    <d v="2024-11-22T00:00:00"/>
    <d v="2024-11-21T00:00:00"/>
    <n v="0"/>
    <s v="متاخر"/>
    <n v="11"/>
    <s v="تم التسليم محمود علي"/>
    <s v="تم التسليم"/>
  </r>
  <r>
    <n v="104"/>
    <s v="s_6725"/>
    <m/>
    <s v="اوسكار راتن"/>
    <s v="شركات"/>
    <s v="المخزن ابو الغيط "/>
    <x v="23"/>
    <s v="اوسكار ريتن "/>
    <s v="سرير"/>
    <s v="دورين"/>
    <s v="كينج"/>
    <n v="90"/>
    <s v="اسود "/>
    <m/>
    <s v="سرير كينج دورين اسود مقاس 90"/>
    <n v="5766"/>
    <s v="حساب شركه"/>
    <d v="2024-11-12T00:00:00"/>
    <d v="2024-11-26T00:00:00"/>
    <d v="2024-11-25T00:00:00"/>
    <n v="0"/>
    <s v="متاخر"/>
    <n v="13"/>
    <s v="تم التسليم محمود علي"/>
    <s v="تم التسليم"/>
  </r>
  <r>
    <n v="105"/>
    <n v="1752544"/>
    <n v="1302011"/>
    <s v="حماده"/>
    <s v="فرد"/>
    <s v="المعادى"/>
    <x v="11"/>
    <s v="هومزمارت"/>
    <s v="سرير"/>
    <s v="فردى"/>
    <s v="فورجينا"/>
    <n v="160"/>
    <s v="بنفسجى"/>
    <m/>
    <s v="سرير فورجينا فردي مقاس 160"/>
    <n v="11395"/>
    <s v="مسبق الدفع"/>
    <d v="2024-11-12T00:00:00"/>
    <d v="2024-11-24T00:00:00"/>
    <d v="2024-11-27T00:00:00"/>
    <n v="1"/>
    <s v="في الموعد"/>
    <n v="15"/>
    <s v="تم التسليم محمود علي"/>
    <s v="تم التسليم"/>
  </r>
  <r>
    <n v="106"/>
    <n v="1755075"/>
    <n v="1303159"/>
    <s v="صفاء عبد الباقي"/>
    <s v="فرد"/>
    <s v="التجمع الخامس"/>
    <x v="5"/>
    <s v="هومزمارت"/>
    <s v="سرير"/>
    <s v="دورين"/>
    <s v="كينج "/>
    <n v="80"/>
    <s v="ابيض"/>
    <m/>
    <s v="سرير كينج دورين اسود مقاس 80"/>
    <n v="12919"/>
    <s v="مسبق الدفع"/>
    <d v="2024-11-14T00:00:00"/>
    <d v="2024-11-30T00:00:00"/>
    <d v="2024-11-27T00:00:00"/>
    <n v="0"/>
    <s v="متاخر"/>
    <n v="13"/>
    <s v="تم التسليم محمود علي"/>
    <s v="تم التسليم"/>
  </r>
  <r>
    <n v="107"/>
    <s v="s_6806"/>
    <m/>
    <s v="اوسكار راتن"/>
    <s v="شركات"/>
    <s v="المخزن ابو الغيط "/>
    <x v="23"/>
    <s v="اوسكار ريتن "/>
    <s v="سرير"/>
    <s v="دورين"/>
    <s v="نوفال"/>
    <n v="120"/>
    <s v="رمادى"/>
    <m/>
    <s v="سرير نوفال 120 رمادي "/>
    <n v="6376"/>
    <s v="حساب شركه"/>
    <d v="2024-11-14T00:00:00"/>
    <d v="2024-11-27T00:00:00"/>
    <d v="2024-11-25T00:00:00"/>
    <n v="0"/>
    <s v="متاخر"/>
    <n v="11"/>
    <s v="تم التسليم محمود علي"/>
    <s v="تم التسليم"/>
  </r>
  <r>
    <n v="108"/>
    <s v="s-6626"/>
    <m/>
    <s v="اوسكار راتن"/>
    <s v="شركات"/>
    <s v="المخزن ابو الغيط "/>
    <x v="23"/>
    <s v="اوسكار ريتن "/>
    <s v="سرير"/>
    <s v="دورين "/>
    <s v="نوفال"/>
    <n v="90"/>
    <s v="اسود "/>
    <m/>
    <s v="سرير نوفال 90 اسود"/>
    <n v="5294"/>
    <s v="حساب شركه"/>
    <d v="2024-11-14T00:00:00"/>
    <d v="2024-11-27T00:00:00"/>
    <d v="2024-11-25T00:00:00"/>
    <n v="0"/>
    <s v="متاخر"/>
    <n v="11"/>
    <s v="تم التسليم محمود علي"/>
    <s v="تم التسليم"/>
  </r>
  <r>
    <n v="109"/>
    <n v="265453625"/>
    <m/>
    <s v="رندا العامرى "/>
    <s v="فرد"/>
    <s v="٦ اكتوبر الجيزه "/>
    <x v="4"/>
    <s v="كيمت "/>
    <s v="سرير"/>
    <s v="دورين "/>
    <s v="كيفنج "/>
    <n v="80"/>
    <s v="ابيض"/>
    <s v="ابيض"/>
    <s v="سرير كيفنج دورين مقاس ٨٠ ابيض "/>
    <n v="7396"/>
    <s v="مسبق الدفع"/>
    <d v="2024-11-17T00:00:00"/>
    <d v="2024-11-28T00:00:00"/>
    <d v="2024-11-26T00:00:00"/>
    <n v="0"/>
    <s v="متاخر"/>
    <n v="9"/>
    <s v="تم التسليم محمود علي"/>
    <s v="تم التسليم"/>
  </r>
  <r>
    <n v="110"/>
    <n v="1762617"/>
    <n v="1306879"/>
    <s v="ساره"/>
    <s v="فرد"/>
    <s v="٦ اكتوبر الجيزه "/>
    <x v="4"/>
    <s v="هومزمارت"/>
    <s v="سرير"/>
    <s v="دورين"/>
    <s v="كينج"/>
    <n v="90"/>
    <s v="اسود "/>
    <m/>
    <s v="سرير كينج دورين اسود مقاس 90"/>
    <n v="13439"/>
    <n v="13575"/>
    <d v="2024-11-20T00:00:00"/>
    <d v="2024-12-05T00:00:00"/>
    <d v="2024-11-26T00:00:00"/>
    <n v="0"/>
    <s v="متاخر"/>
    <n v="6"/>
    <s v="تم التسليم محمود علي"/>
    <s v="تم التسليم"/>
  </r>
  <r>
    <n v="112"/>
    <m/>
    <m/>
    <s v="محمد حمدى"/>
    <s v="فرد"/>
    <s v="مصر الجديده"/>
    <x v="7"/>
    <s v="فيس بوك"/>
    <s v="سرير"/>
    <s v="فردى"/>
    <s v="كوين "/>
    <n v="160"/>
    <s v="دهبي"/>
    <s v="ابيض"/>
    <s v="سرير كوين فردي مقاس 160"/>
    <n v="6000"/>
    <n v="5800"/>
    <d v="2024-11-22T00:00:00"/>
    <d v="2024-12-02T00:00:00"/>
    <d v="2024-11-27T00:00:00"/>
    <n v="0"/>
    <s v="متاخر"/>
    <n v="5"/>
    <s v="تم التسليم محمود علي"/>
    <s v="تم التسليم"/>
  </r>
  <r>
    <n v="113"/>
    <n v="1765451"/>
    <n v="1308241"/>
    <s v="بافلى هانى "/>
    <s v="فرد"/>
    <s v="شبرا "/>
    <x v="29"/>
    <s v="هومزمارت"/>
    <s v="سرير"/>
    <s v="فردى "/>
    <s v="اسبانى "/>
    <n v="120"/>
    <s v="رمادى"/>
    <m/>
    <s v="سرير اسبانى رمادى ١٢٠"/>
    <n v="10885"/>
    <n v="7965"/>
    <d v="2024-11-24T00:00:00"/>
    <d v="2024-12-05T00:00:00"/>
    <d v="2024-12-10T00:00:00"/>
    <n v="1"/>
    <s v="في الموعد"/>
    <n v="16"/>
    <s v="تم التسليم محمود علي"/>
    <s v="تم التسليم"/>
  </r>
  <r>
    <n v="114"/>
    <m/>
    <n v="2514"/>
    <s v="تاكى "/>
    <s v="شركات"/>
    <s v="العباسيه "/>
    <x v="6"/>
    <s v="تاكى"/>
    <s v="كنبه"/>
    <s v="t1"/>
    <s v="t1"/>
    <m/>
    <m/>
    <m/>
    <s v="كنبه t1"/>
    <n v="6000"/>
    <n v="6000"/>
    <d v="2024-11-19T00:00:00"/>
    <d v="2024-12-05T00:00:00"/>
    <d v="2024-11-20T00:00:00"/>
    <n v="0"/>
    <s v="متاخر"/>
    <n v="1"/>
    <s v="تم التسليم م محمد "/>
    <s v="تم التسليم"/>
  </r>
  <r>
    <n v="115"/>
    <n v="1782674"/>
    <n v="1315860"/>
    <s v="رنا ميلاد"/>
    <s v="فرد"/>
    <s v="جليم الإسكندرية "/>
    <x v="1"/>
    <s v="هومزمارت"/>
    <s v="ترابيزه"/>
    <m/>
    <s v="مكتبه"/>
    <m/>
    <m/>
    <m/>
    <s v="ترابيزه مكتبه "/>
    <n v="8449"/>
    <s v="مسبق الدفع"/>
    <d v="2024-11-27T00:00:00"/>
    <d v="2024-12-10T00:00:00"/>
    <d v="2024-12-23T00:00:00"/>
    <n v="1"/>
    <s v="في الموعد"/>
    <n v="26"/>
    <s v="تم التسليم عن طريق شركه شحن "/>
    <s v="تم التسليم"/>
  </r>
  <r>
    <n v="116"/>
    <n v="1781530"/>
    <n v="1315450"/>
    <s v="محمد ناجى"/>
    <s v="فرد"/>
    <s v="مدينه نصر "/>
    <x v="9"/>
    <s v="هومزمارت"/>
    <s v="ترابيزه"/>
    <s v="دوران "/>
    <s v="ميكانزم"/>
    <m/>
    <s v="ابيض"/>
    <s v="ابيض في بنى غامق"/>
    <s v="ترابيزه دوران ميكانيزم"/>
    <n v="10249"/>
    <n v="6211"/>
    <d v="2024-11-27T00:00:00"/>
    <d v="2024-12-10T00:00:00"/>
    <d v="2024-12-19T00:00:00"/>
    <n v="1"/>
    <s v="في الموعد"/>
    <n v="22"/>
    <s v="تم التسليم محمود علي"/>
    <s v="تم التسليم"/>
  </r>
  <r>
    <n v="117"/>
    <n v="1795447"/>
    <n v="1321584"/>
    <s v="احمد عبد الستار"/>
    <s v="فرد"/>
    <s v="المندره اسكندريه"/>
    <x v="1"/>
    <s v="هومزمارت"/>
    <s v="سرير"/>
    <s v="دورين"/>
    <s v="كيفنج"/>
    <n v="100"/>
    <s v="اسود "/>
    <s v="اسود"/>
    <s v="            ٢ سرير كيفنج ١٠٠ اسود "/>
    <n v="14905"/>
    <s v="مسبق الدفع"/>
    <d v="2024-11-29T00:00:00"/>
    <d v="2024-12-15T00:00:00"/>
    <m/>
    <m/>
    <m/>
    <m/>
    <s v="العميل رفض الاستلام"/>
    <s v="لاغي"/>
  </r>
  <r>
    <n v="118"/>
    <n v="1808440"/>
    <n v="1327172"/>
    <s v="نور "/>
    <s v="فرد"/>
    <s v="القاهره الجديده"/>
    <x v="10"/>
    <s v="هومزمارت"/>
    <s v="ترابيزه"/>
    <s v="دوران "/>
    <s v="ميكانزم"/>
    <m/>
    <s v="اسود "/>
    <s v="بنى غامق"/>
    <s v="ترابيزه دوران ميكانيزم"/>
    <n v="10249"/>
    <s v="مسبق الدفع"/>
    <d v="2024-11-30T00:00:00"/>
    <d v="2024-12-12T00:00:00"/>
    <m/>
    <m/>
    <m/>
    <m/>
    <s v="ملغي"/>
    <s v="لاغي"/>
  </r>
  <r>
    <n v="119"/>
    <n v="1808441"/>
    <n v="1327172"/>
    <s v="نور"/>
    <s v="فرد"/>
    <s v="القاهره الجديده"/>
    <x v="10"/>
    <s v="هومزمارت"/>
    <s v="ترابيزه"/>
    <s v="رف سحاب"/>
    <m/>
    <m/>
    <s v="اسود "/>
    <s v="بنى غامق "/>
    <s v="ترابيزه قهوه علويه برف سحاب "/>
    <n v="9029"/>
    <s v="مسبق الدفع"/>
    <d v="2024-11-30T00:00:00"/>
    <d v="2024-12-12T00:00:00"/>
    <m/>
    <m/>
    <m/>
    <m/>
    <s v="ملغي"/>
    <s v="لاغي"/>
  </r>
  <r>
    <n v="121"/>
    <n v="1813823"/>
    <n v="1329646"/>
    <s v="هناء اسامه"/>
    <s v="فرد"/>
    <s v="القطاميه"/>
    <x v="14"/>
    <s v="هومزمارت"/>
    <s v="سرير"/>
    <s v="دورين "/>
    <s v="نوفال"/>
    <n v="80"/>
    <s v="ابيض"/>
    <m/>
    <s v="سرير نوفال ابيض مقاس 80 "/>
    <n v="12099"/>
    <s v="مسبق الدفع"/>
    <d v="2024-12-02T00:00:00"/>
    <d v="2024-12-17T00:00:00"/>
    <m/>
    <m/>
    <m/>
    <m/>
    <s v="ملغي"/>
    <s v="لاغي"/>
  </r>
  <r>
    <n v="122"/>
    <s v="s_7152"/>
    <m/>
    <s v="اوسكار راتن"/>
    <s v="شركات"/>
    <s v="المخزن ابو الغيط "/>
    <x v="23"/>
    <s v="اوسكار ريتن "/>
    <s v="سرير"/>
    <s v="دورين "/>
    <s v="كيفنج "/>
    <n v="90"/>
    <s v="ازرق"/>
    <s v="ازرق"/>
    <s v="سرير كيفنج 90 ازرق"/>
    <n v="5217"/>
    <s v="حساب شركه"/>
    <d v="2024-12-01T00:00:00"/>
    <d v="2024-12-14T00:00:00"/>
    <d v="2024-12-10T00:00:00"/>
    <n v="0"/>
    <s v="متاخر"/>
    <n v="9"/>
    <s v="تم التسليم محمود علي"/>
    <s v="تم التسليم"/>
  </r>
  <r>
    <n v="123"/>
    <n v="1810950"/>
    <n v="1328141"/>
    <s v="محمد عادل "/>
    <s v="فرد"/>
    <s v="العبور"/>
    <x v="20"/>
    <s v="هومزمارت"/>
    <s v="سرير"/>
    <s v="منطبق"/>
    <m/>
    <m/>
    <s v="اسود "/>
    <s v="اسود"/>
    <s v="سرير منطبق اسود والقماش اسود"/>
    <n v="10249"/>
    <n v="6211"/>
    <d v="2024-12-04T00:00:00"/>
    <d v="2024-12-14T00:00:00"/>
    <d v="2024-12-19T00:00:00"/>
    <n v="1"/>
    <s v="في الموعد"/>
    <n v="15"/>
    <s v="تم التسليم محمود علي"/>
    <s v="تم التسليم"/>
  </r>
  <r>
    <n v="124"/>
    <n v="240085463"/>
    <m/>
    <s v="مريم عنان"/>
    <s v="فرد"/>
    <s v="اب تاون كايرو التجمع "/>
    <x v="24"/>
    <s v="شيك هومز "/>
    <s v="سرير"/>
    <s v="دورين"/>
    <s v="كينج"/>
    <m/>
    <s v="اسود "/>
    <m/>
    <s v="سرير كينج دورين اسود مقاس "/>
    <n v="10445"/>
    <n v="7707"/>
    <d v="2024-12-09T00:00:00"/>
    <d v="2024-12-31T00:00:00"/>
    <d v="2024-12-12T00:00:00"/>
    <n v="0"/>
    <s v="متاخر"/>
    <n v="3"/>
    <s v="تم التسليم محمود علي"/>
    <s v="تم التسليم"/>
  </r>
  <r>
    <n v="125"/>
    <n v="1818591"/>
    <n v="1332300"/>
    <s v="هبه عطيه "/>
    <s v="فرد"/>
    <s v="القاهره الجديده"/>
    <x v="10"/>
    <s v="هومزمارت"/>
    <s v="ترابيزه"/>
    <s v="دوران"/>
    <s v="ميكانزم"/>
    <m/>
    <s v="اسود "/>
    <s v="بنى غامق"/>
    <s v="ترابيزه دوران ميكانيزم"/>
    <n v="11199"/>
    <n v="11257"/>
    <d v="2024-12-12T00:00:00"/>
    <d v="2024-12-24T00:00:00"/>
    <d v="2024-12-19T00:00:00"/>
    <n v="0"/>
    <s v="متاخر"/>
    <n v="7"/>
    <s v="تم التسليم محمود علي"/>
    <s v="تم التسليم"/>
  </r>
  <r>
    <n v="126"/>
    <n v="1818396"/>
    <n v="1332179"/>
    <s v="حمدى ذكرى"/>
    <s v="فرد"/>
    <s v="٦ اكتوبر الجيزه "/>
    <x v="4"/>
    <s v="هومزمارت"/>
    <s v="سرير"/>
    <s v="دورين"/>
    <s v="نوفال"/>
    <n v="80"/>
    <s v="اسود "/>
    <m/>
    <s v="سرير نوفال 80 اسود"/>
    <n v="13099"/>
    <n v="13231"/>
    <d v="2024-12-12T00:00:00"/>
    <d v="2024-12-28T00:00:00"/>
    <d v="2024-12-29T00:00:00"/>
    <n v="1"/>
    <s v="في الموعد"/>
    <n v="17"/>
    <s v="تم التسليم محمود علي"/>
    <s v="تم التسليم"/>
  </r>
  <r>
    <n v="127"/>
    <n v="240085758"/>
    <m/>
    <s v="شيك هومز"/>
    <s v="شركات"/>
    <s v="مخزن شيك هومز"/>
    <x v="27"/>
    <s v="شيك هومز "/>
    <s v="كنبه"/>
    <s v="4*1"/>
    <s v="ارينا"/>
    <m/>
    <s v="اسود "/>
    <s v="روك ١٠"/>
    <s v="كنبه سرير ٤ حركه اسود والقماش روك10"/>
    <n v="8700"/>
    <s v="حساب شركه"/>
    <d v="2024-12-14T00:00:00"/>
    <d v="2025-01-05T00:00:00"/>
    <d v="2024-12-29T00:00:00"/>
    <n v="0"/>
    <s v="متاخر"/>
    <n v="15"/>
    <s v="تم التسليم محمود علي"/>
    <s v="تم التسليم"/>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r>
    <m/>
    <m/>
    <m/>
    <m/>
    <m/>
    <m/>
    <x v="30"/>
    <m/>
    <m/>
    <m/>
    <m/>
    <m/>
    <m/>
    <m/>
    <m/>
    <m/>
    <m/>
    <m/>
    <m/>
    <m/>
    <m/>
    <m/>
    <m/>
    <m/>
    <m/>
  </r>
</pivotCacheRecords>
</file>

<file path=xl/pivotCache/pivotCacheRecords2.xml><?xml version="1.0" encoding="utf-8"?>
<pivotCacheRecords xmlns="http://schemas.openxmlformats.org/spreadsheetml/2006/main" xmlns:r="http://schemas.openxmlformats.org/officeDocument/2006/relationships" count="122">
  <r>
    <n v="1"/>
    <m/>
    <m/>
    <s v="خالد عبد القوى "/>
    <x v="0"/>
    <s v="العجوزه "/>
    <x v="0"/>
    <x v="0"/>
    <x v="0"/>
    <s v="منطبق"/>
    <m/>
    <m/>
    <x v="0"/>
    <s v="ابيض"/>
    <x v="0"/>
    <n v="10160"/>
    <s v="مسبق الدفع"/>
    <d v="2024-07-27T00:00:00"/>
    <m/>
    <d v="2024-08-10T00:00:00"/>
    <m/>
    <x v="0"/>
    <n v="14"/>
    <s v="تم التسليم عن طريق شركه شحن "/>
    <x v="0"/>
  </r>
  <r>
    <n v="2"/>
    <m/>
    <m/>
    <s v="محمود"/>
    <x v="0"/>
    <s v="سموحه "/>
    <x v="1"/>
    <x v="0"/>
    <x v="0"/>
    <s v="منطبق"/>
    <m/>
    <m/>
    <x v="1"/>
    <s v="اسود"/>
    <x v="1"/>
    <n v="10160"/>
    <n v="9749"/>
    <d v="2024-07-28T00:00:00"/>
    <m/>
    <d v="2024-08-11T00:00:00"/>
    <m/>
    <x v="0"/>
    <n v="14"/>
    <s v="تم التسليم عن طريق شركه شحن "/>
    <x v="0"/>
  </r>
  <r>
    <n v="3"/>
    <m/>
    <m/>
    <s v="سعيد"/>
    <x v="0"/>
    <s v="سيدى عبد الرحمن "/>
    <x v="2"/>
    <x v="0"/>
    <x v="0"/>
    <s v="دورين"/>
    <s v="كيفنج"/>
    <n v="90"/>
    <x v="2"/>
    <s v="ازرق"/>
    <x v="2"/>
    <n v="11455"/>
    <n v="10067.68"/>
    <s v="27/7/2024"/>
    <m/>
    <m/>
    <m/>
    <x v="0"/>
    <m/>
    <s v="فشل التسليم "/>
    <x v="1"/>
  </r>
  <r>
    <n v="4"/>
    <m/>
    <m/>
    <s v="ساندرا"/>
    <x v="0"/>
    <s v="الغردقه "/>
    <x v="3"/>
    <x v="0"/>
    <x v="1"/>
    <m/>
    <m/>
    <m/>
    <x v="3"/>
    <m/>
    <x v="3"/>
    <n v="8642"/>
    <s v="مسبق الدفع"/>
    <d v="2024-08-25T00:00:00"/>
    <d v="2024-09-07T00:00:00"/>
    <d v="2024-08-27T00:00:00"/>
    <n v="0"/>
    <x v="1"/>
    <n v="2"/>
    <s v="تم التسليم عن طريق شركه شحن "/>
    <x v="0"/>
  </r>
  <r>
    <n v="5"/>
    <m/>
    <m/>
    <s v="زينا "/>
    <x v="0"/>
    <s v="سيدى عبد الرحمن "/>
    <x v="2"/>
    <x v="0"/>
    <x v="0"/>
    <s v="دورين"/>
    <s v="نوفال"/>
    <n v="100"/>
    <x v="4"/>
    <s v="رمادي"/>
    <x v="4"/>
    <n v="12833"/>
    <n v="12974.22"/>
    <d v="2024-08-16T00:00:00"/>
    <d v="2024-08-31T00:00:00"/>
    <m/>
    <m/>
    <x v="0"/>
    <m/>
    <s v="فشل التسليم "/>
    <x v="1"/>
  </r>
  <r>
    <n v="6"/>
    <m/>
    <m/>
    <s v="شيك هومز "/>
    <x v="1"/>
    <m/>
    <x v="4"/>
    <x v="1"/>
    <x v="2"/>
    <s v="4*1"/>
    <m/>
    <m/>
    <x v="4"/>
    <s v="رمادي"/>
    <x v="5"/>
    <n v="14550"/>
    <s v="مسبق الدفع"/>
    <d v="2024-08-14T00:00:00"/>
    <d v="2024-09-03T00:00:00"/>
    <d v="2024-09-05T00:00:00"/>
    <n v="1"/>
    <x v="2"/>
    <n v="22"/>
    <s v="تم التسليم عن طريق شركه شحن "/>
    <x v="0"/>
  </r>
  <r>
    <n v="7"/>
    <m/>
    <m/>
    <s v="احمد "/>
    <x v="0"/>
    <s v="التجمع الخامس"/>
    <x v="5"/>
    <x v="2"/>
    <x v="2"/>
    <s v="4*1"/>
    <m/>
    <m/>
    <x v="4"/>
    <s v="رمادي"/>
    <x v="5"/>
    <n v="12000"/>
    <n v="12000"/>
    <d v="2024-08-17T00:00:00"/>
    <d v="2024-08-20T00:00:00"/>
    <d v="2024-08-19T00:00:00"/>
    <n v="0"/>
    <x v="1"/>
    <n v="2"/>
    <s v="تم التسليم عن طريق شركه شحن "/>
    <x v="0"/>
  </r>
  <r>
    <n v="8"/>
    <m/>
    <m/>
    <s v="yilmaz"/>
    <x v="1"/>
    <s v="٦ اكتوبر الجيزه "/>
    <x v="4"/>
    <x v="0"/>
    <x v="0"/>
    <s v="فردى"/>
    <m/>
    <m/>
    <x v="0"/>
    <s v="ابيض"/>
    <x v="6"/>
    <n v="7228"/>
    <s v="مسبق الدفع"/>
    <d v="2024-08-25T00:00:00"/>
    <d v="2024-09-03T00:00:00"/>
    <d v="2024-09-10T00:00:00"/>
    <n v="1"/>
    <x v="2"/>
    <n v="16"/>
    <s v="تم التسليم عن طريق شركه شحن "/>
    <x v="0"/>
  </r>
  <r>
    <n v="9"/>
    <m/>
    <n v="2514"/>
    <s v="تاكى "/>
    <x v="1"/>
    <s v="العباسيه"/>
    <x v="6"/>
    <x v="3"/>
    <x v="3"/>
    <s v="ركنة بسرير"/>
    <m/>
    <m/>
    <x v="3"/>
    <m/>
    <x v="7"/>
    <n v="22000"/>
    <n v="22000"/>
    <d v="2024-08-19T00:00:00"/>
    <d v="2024-09-01T00:00:00"/>
    <d v="2024-09-17T00:00:00"/>
    <n v="1"/>
    <x v="2"/>
    <n v="29"/>
    <s v="تم التسليم محمود علي"/>
    <x v="0"/>
  </r>
  <r>
    <n v="11"/>
    <m/>
    <n v="2514"/>
    <s v="تاكى "/>
    <x v="1"/>
    <s v="العباسيه "/>
    <x v="6"/>
    <x v="3"/>
    <x v="2"/>
    <s v="سحارة"/>
    <m/>
    <m/>
    <x v="3"/>
    <m/>
    <x v="8"/>
    <n v="6000"/>
    <n v="12000"/>
    <d v="2024-08-25T00:00:00"/>
    <d v="2024-09-15T00:00:00"/>
    <d v="2024-09-17T00:00:00"/>
    <n v="1"/>
    <x v="2"/>
    <n v="23"/>
    <s v="تم التسليم محمود علي"/>
    <x v="0"/>
  </r>
  <r>
    <n v="12"/>
    <m/>
    <n v="2514"/>
    <s v="تاكى "/>
    <x v="1"/>
    <s v="العباسيه "/>
    <x v="6"/>
    <x v="3"/>
    <x v="2"/>
    <s v="سحارة"/>
    <m/>
    <m/>
    <x v="3"/>
    <m/>
    <x v="8"/>
    <n v="6000"/>
    <n v="12000"/>
    <d v="2024-08-25T00:00:00"/>
    <d v="2024-09-15T00:00:00"/>
    <d v="2024-09-17T00:00:00"/>
    <n v="1"/>
    <x v="2"/>
    <n v="23"/>
    <s v="تم التسليم محمود علي"/>
    <x v="0"/>
  </r>
  <r>
    <n v="13"/>
    <m/>
    <m/>
    <s v="على رشوان "/>
    <x v="0"/>
    <s v="مصر الجديده"/>
    <x v="7"/>
    <x v="0"/>
    <x v="0"/>
    <s v="دورين"/>
    <s v="نوفال"/>
    <n v="80"/>
    <x v="0"/>
    <s v="ابيض"/>
    <x v="9"/>
    <n v="10499"/>
    <n v="8924"/>
    <d v="2024-09-01T00:00:00"/>
    <d v="2024-09-16T00:00:00"/>
    <d v="2024-09-08T00:00:00"/>
    <n v="0"/>
    <x v="1"/>
    <n v="7"/>
    <s v="تم التسليم عن طريق شركه شحن "/>
    <x v="0"/>
  </r>
  <r>
    <n v="14"/>
    <n v="1404561"/>
    <n v="1199284"/>
    <s v="احمد فخرى "/>
    <x v="0"/>
    <s v="٦ اكتوبر الجيزه "/>
    <x v="4"/>
    <x v="0"/>
    <x v="0"/>
    <s v="فردى"/>
    <s v="نوفال"/>
    <n v="80"/>
    <x v="0"/>
    <s v="ابيض"/>
    <x v="10"/>
    <n v="7295"/>
    <n v="5895"/>
    <d v="2024-09-05T00:00:00"/>
    <d v="2024-09-14T00:00:00"/>
    <m/>
    <m/>
    <x v="0"/>
    <m/>
    <s v="ملغي"/>
    <x v="1"/>
  </r>
  <r>
    <n v="15"/>
    <n v="1401137"/>
    <n v="1197500"/>
    <s v="لينا "/>
    <x v="0"/>
    <s v="المقطم "/>
    <x v="8"/>
    <x v="0"/>
    <x v="1"/>
    <s v="2 ميكانزم"/>
    <m/>
    <m/>
    <x v="3"/>
    <m/>
    <x v="11"/>
    <n v="7849"/>
    <s v="مسبق الدفع"/>
    <d v="2024-09-04T00:00:00"/>
    <d v="2024-09-16T00:00:00"/>
    <d v="2024-09-25T00:00:00"/>
    <n v="1"/>
    <x v="2"/>
    <n v="21"/>
    <s v="تم التسليم عن طريق شركه شحن "/>
    <x v="1"/>
  </r>
  <r>
    <n v="16"/>
    <m/>
    <m/>
    <s v="فيصل نعيم "/>
    <x v="0"/>
    <s v="التجمع الخامس "/>
    <x v="5"/>
    <x v="4"/>
    <x v="0"/>
    <s v="دورين"/>
    <s v="كيفنج"/>
    <n v="120"/>
    <x v="1"/>
    <s v="اسود"/>
    <x v="12"/>
    <n v="6180"/>
    <n v="9700"/>
    <d v="2024-09-03T00:00:00"/>
    <d v="2024-09-16T00:00:00"/>
    <d v="2024-09-15T00:00:00"/>
    <n v="0"/>
    <x v="1"/>
    <n v="12"/>
    <s v="تم التسليم محمود علي"/>
    <x v="0"/>
  </r>
  <r>
    <n v="17"/>
    <m/>
    <m/>
    <s v="فيصل نعيم "/>
    <x v="0"/>
    <s v="التجمع الخامس "/>
    <x v="5"/>
    <x v="4"/>
    <x v="0"/>
    <s v="دورين"/>
    <s v="كيفنج"/>
    <n v="120"/>
    <x v="1"/>
    <s v="اسود"/>
    <x v="12"/>
    <n v="6180"/>
    <n v="9700"/>
    <d v="2024-09-03T00:00:00"/>
    <d v="2024-09-16T00:00:00"/>
    <d v="2024-09-15T00:00:00"/>
    <n v="0"/>
    <x v="1"/>
    <n v="12"/>
    <s v="تم التسليم محمود علي"/>
    <x v="0"/>
  </r>
  <r>
    <n v="18"/>
    <n v="1400149"/>
    <n v="1196947"/>
    <s v="ellho elkafy"/>
    <x v="1"/>
    <s v="مدينه نصر "/>
    <x v="9"/>
    <x v="0"/>
    <x v="0"/>
    <s v="دورين"/>
    <s v="كينج"/>
    <n v="80"/>
    <x v="0"/>
    <s v="ابيض"/>
    <x v="13"/>
    <n v="11199"/>
    <n v="11310"/>
    <d v="2024-09-04T00:00:00"/>
    <d v="2024-09-18T00:00:00"/>
    <m/>
    <m/>
    <x v="0"/>
    <m/>
    <s v="ملغي"/>
    <x v="1"/>
  </r>
  <r>
    <n v="19"/>
    <n v="1408099"/>
    <n v="1201057"/>
    <s v="احمد "/>
    <x v="0"/>
    <s v="القاهره الجديده"/>
    <x v="10"/>
    <x v="0"/>
    <x v="0"/>
    <s v="فردى"/>
    <s v="فورجينا"/>
    <n v="80"/>
    <x v="0"/>
    <s v="ابيض"/>
    <x v="14"/>
    <n v="7987"/>
    <s v="مسبق الدفع"/>
    <d v="2024-09-06T00:00:00"/>
    <d v="2024-09-16T00:00:00"/>
    <d v="2024-09-21T00:00:00"/>
    <n v="1"/>
    <x v="2"/>
    <n v="15"/>
    <s v="تم التسليم محمود علي"/>
    <x v="0"/>
  </r>
  <r>
    <n v="20"/>
    <m/>
    <n v="2514"/>
    <s v="تاكى"/>
    <x v="1"/>
    <s v="العباسيه"/>
    <x v="6"/>
    <x v="3"/>
    <x v="4"/>
    <s v="فنيسيا"/>
    <m/>
    <m/>
    <x v="3"/>
    <m/>
    <x v="15"/>
    <n v="9300"/>
    <n v="9300"/>
    <d v="2024-09-04T00:00:00"/>
    <d v="2024-09-15T00:00:00"/>
    <d v="2024-09-17T00:00:00"/>
    <n v="1"/>
    <x v="2"/>
    <n v="13"/>
    <s v="تم التسليم محمود علي"/>
    <x v="0"/>
  </r>
  <r>
    <n v="21"/>
    <n v="1408098"/>
    <n v="1201057"/>
    <s v="احمد "/>
    <x v="0"/>
    <s v="القاهره الجديده"/>
    <x v="10"/>
    <x v="0"/>
    <x v="0"/>
    <s v="فردى"/>
    <s v="فورجينا"/>
    <n v="80"/>
    <x v="0"/>
    <s v="ابيض"/>
    <x v="14"/>
    <n v="7987"/>
    <s v="مسبق الدفع"/>
    <d v="2024-09-06T00:00:00"/>
    <d v="2024-09-16T00:00:00"/>
    <d v="2024-09-21T00:00:00"/>
    <n v="1"/>
    <x v="2"/>
    <n v="15"/>
    <s v="تم التسليم محمود علي"/>
    <x v="0"/>
  </r>
  <r>
    <n v="22"/>
    <n v="1408100"/>
    <n v="1201057"/>
    <s v="احمد "/>
    <x v="0"/>
    <s v="القاهره الجديده"/>
    <x v="10"/>
    <x v="0"/>
    <x v="0"/>
    <s v="فردى"/>
    <s v="فورجينا"/>
    <n v="80"/>
    <x v="0"/>
    <s v="ابيض"/>
    <x v="14"/>
    <n v="7987"/>
    <s v="مسبق الدفع"/>
    <d v="2024-09-06T00:00:00"/>
    <d v="2024-09-16T00:00:00"/>
    <d v="2024-09-21T00:00:00"/>
    <n v="1"/>
    <x v="2"/>
    <n v="15"/>
    <s v="تم التسليم محمود علي"/>
    <x v="0"/>
  </r>
  <r>
    <n v="23"/>
    <n v="1408101"/>
    <n v="1201057"/>
    <s v="احمد "/>
    <x v="0"/>
    <s v="القاهره الجديده"/>
    <x v="10"/>
    <x v="0"/>
    <x v="0"/>
    <s v="فردى"/>
    <s v="فورجينا"/>
    <n v="80"/>
    <x v="0"/>
    <s v="ابيض"/>
    <x v="14"/>
    <n v="7987"/>
    <s v="مسبق الدفع"/>
    <d v="2024-09-06T00:00:00"/>
    <d v="2024-09-16T00:00:00"/>
    <d v="2024-09-21T00:00:00"/>
    <n v="1"/>
    <x v="2"/>
    <n v="15"/>
    <s v="تم التسليم محمود علي"/>
    <x v="0"/>
  </r>
  <r>
    <n v="24"/>
    <n v="1513856"/>
    <n v="1231946"/>
    <s v="صفاء"/>
    <x v="0"/>
    <s v="المعادى"/>
    <x v="11"/>
    <x v="0"/>
    <x v="1"/>
    <s v="2 ميكانزم"/>
    <m/>
    <m/>
    <x v="3"/>
    <m/>
    <x v="11"/>
    <n v="8849"/>
    <s v="مسبق الدفع"/>
    <d v="2024-09-03T00:00:00"/>
    <d v="2024-10-16T00:00:00"/>
    <m/>
    <m/>
    <x v="0"/>
    <m/>
    <s v="ملغي"/>
    <x v="1"/>
  </r>
  <r>
    <n v="25"/>
    <n v="1411691"/>
    <n v="1202775"/>
    <s v="حسن حازم"/>
    <x v="0"/>
    <s v="٦ اكتوبر الجيزه "/>
    <x v="4"/>
    <x v="0"/>
    <x v="0"/>
    <s v="فردى"/>
    <s v="اسبانى"/>
    <n v="120"/>
    <x v="0"/>
    <s v="ابيض"/>
    <x v="16"/>
    <n v="10987"/>
    <s v="مسبق الدفع"/>
    <d v="2024-09-09T00:00:00"/>
    <d v="2024-09-17T00:00:00"/>
    <d v="2024-09-21T00:00:00"/>
    <n v="1"/>
    <x v="2"/>
    <n v="12"/>
    <s v="تم التسليم محمود علي"/>
    <x v="0"/>
  </r>
  <r>
    <n v="26"/>
    <m/>
    <m/>
    <s v="شيك هومز "/>
    <x v="1"/>
    <m/>
    <x v="4"/>
    <x v="1"/>
    <x v="0"/>
    <s v="دورين"/>
    <s v="كينج"/>
    <n v="100"/>
    <x v="0"/>
    <s v="ابيض"/>
    <x v="17"/>
    <n v="9208"/>
    <n v="5781.75"/>
    <d v="2024-09-01T00:00:00"/>
    <d v="2024-09-19T00:00:00"/>
    <d v="2024-09-21T00:00:00"/>
    <n v="1"/>
    <x v="2"/>
    <n v="20"/>
    <s v="تم التسليم محمود علي"/>
    <x v="0"/>
  </r>
  <r>
    <n v="27"/>
    <m/>
    <m/>
    <s v="شيك هومز "/>
    <x v="1"/>
    <m/>
    <x v="4"/>
    <x v="1"/>
    <x v="0"/>
    <s v="دورين"/>
    <s v="كينج"/>
    <n v="100"/>
    <x v="1"/>
    <s v="اسود"/>
    <x v="18"/>
    <n v="9208"/>
    <n v="1278.53"/>
    <d v="2024-09-01T00:00:00"/>
    <d v="2024-09-19T00:00:00"/>
    <d v="2024-09-21T00:00:00"/>
    <n v="1"/>
    <x v="2"/>
    <n v="20"/>
    <s v="تم التسليم محمود علي"/>
    <x v="0"/>
  </r>
  <r>
    <n v="28"/>
    <m/>
    <m/>
    <s v="اوسكار راتن"/>
    <x v="1"/>
    <s v="مخزن اوسكار في القناطر "/>
    <x v="12"/>
    <x v="4"/>
    <x v="0"/>
    <s v="فردى"/>
    <s v="فورجينا"/>
    <n v="120"/>
    <x v="0"/>
    <s v="ابيض"/>
    <x v="19"/>
    <n v="4020"/>
    <s v="حساب شركه"/>
    <d v="2024-09-12T00:00:00"/>
    <d v="2024-09-21T00:00:00"/>
    <d v="2024-09-22T00:00:00"/>
    <n v="1"/>
    <x v="2"/>
    <n v="10"/>
    <s v="تم التسليم محمود علي"/>
    <x v="0"/>
  </r>
  <r>
    <n v="29"/>
    <m/>
    <m/>
    <s v="اوسكار راتن"/>
    <x v="1"/>
    <s v="مخزن اوسكار في القناطر "/>
    <x v="12"/>
    <x v="4"/>
    <x v="0"/>
    <s v="فردى"/>
    <s v="فورجينا"/>
    <n v="120"/>
    <x v="0"/>
    <s v="ابيض"/>
    <x v="19"/>
    <n v="4020"/>
    <s v="حساب شركه"/>
    <d v="2024-09-12T00:00:00"/>
    <d v="2024-09-21T00:00:00"/>
    <d v="2024-09-22T00:00:00"/>
    <n v="1"/>
    <x v="2"/>
    <n v="10"/>
    <s v="تم التسليم محمود علي"/>
    <x v="0"/>
  </r>
  <r>
    <n v="30"/>
    <m/>
    <m/>
    <s v="اوسكار راتن"/>
    <x v="1"/>
    <s v="مخزن اوسكار في القناطر "/>
    <x v="12"/>
    <x v="4"/>
    <x v="0"/>
    <s v="فردى"/>
    <s v="ارفيل"/>
    <n v="120"/>
    <x v="1"/>
    <s v="اسود"/>
    <x v="20"/>
    <n v="4020"/>
    <s v="مسبق الدفع "/>
    <d v="2024-09-12T00:00:00"/>
    <d v="2024-09-21T00:00:00"/>
    <d v="2024-09-22T00:00:00"/>
    <n v="1"/>
    <x v="2"/>
    <n v="10"/>
    <s v="تم التسليم محمود علي"/>
    <x v="0"/>
  </r>
  <r>
    <n v="31"/>
    <m/>
    <m/>
    <s v="اوسكار راتن"/>
    <x v="1"/>
    <s v="مخزن اوسكار في القناطر "/>
    <x v="12"/>
    <x v="4"/>
    <x v="0"/>
    <s v="فردى"/>
    <s v="ارفيل"/>
    <n v="120"/>
    <x v="1"/>
    <s v="اسود"/>
    <x v="20"/>
    <n v="4020"/>
    <s v="مسبق الدفع "/>
    <d v="2024-09-12T00:00:00"/>
    <d v="2024-09-21T00:00:00"/>
    <d v="2024-09-22T00:00:00"/>
    <n v="1"/>
    <x v="2"/>
    <n v="10"/>
    <s v="تم التسليم محمود علي"/>
    <x v="0"/>
  </r>
  <r>
    <n v="32"/>
    <n v="1509211"/>
    <n v="1230837"/>
    <s v="صفاء الحكيم"/>
    <x v="0"/>
    <s v="العين السخنه"/>
    <x v="13"/>
    <x v="0"/>
    <x v="0"/>
    <s v="منطبق"/>
    <m/>
    <m/>
    <x v="1"/>
    <s v="اسود"/>
    <x v="21"/>
    <n v="9399"/>
    <s v="مسبق الدفع "/>
    <s v="14/9/2024"/>
    <d v="2024-09-22T00:00:00"/>
    <m/>
    <m/>
    <x v="0"/>
    <m/>
    <s v="فشل التسليم "/>
    <x v="1"/>
  </r>
  <r>
    <n v="33"/>
    <n v="1536687"/>
    <n v="1237682"/>
    <s v="يوسف شناوى"/>
    <x v="0"/>
    <s v="الابراهيميه . الإسكندرية "/>
    <x v="1"/>
    <x v="0"/>
    <x v="1"/>
    <s v="رف سحاب"/>
    <m/>
    <m/>
    <x v="3"/>
    <m/>
    <x v="22"/>
    <n v="8349"/>
    <s v="مسبق الدفع "/>
    <d v="2024-09-14T00:00:00"/>
    <d v="2024-09-22T00:00:00"/>
    <d v="2024-09-24T00:00:00"/>
    <n v="1"/>
    <x v="2"/>
    <n v="10"/>
    <s v="تم التسليم عن طريق شركه شحن "/>
    <x v="0"/>
  </r>
  <r>
    <n v="34"/>
    <n v="1520537"/>
    <n v="1233624"/>
    <s v="حاتم العيسوي "/>
    <x v="0"/>
    <s v="٦ اكتوبر الجيزه "/>
    <x v="4"/>
    <x v="0"/>
    <x v="0"/>
    <s v="منطبق"/>
    <m/>
    <m/>
    <x v="1"/>
    <s v="اسود"/>
    <x v="23"/>
    <n v="9399"/>
    <s v="مسبق الدفع"/>
    <d v="2024-09-13T00:00:00"/>
    <d v="2024-09-24T00:00:00"/>
    <s v="09/31/2024"/>
    <n v="1"/>
    <x v="2"/>
    <n v="18"/>
    <s v="تم التسليم عن طريق شركه شحن "/>
    <x v="0"/>
  </r>
  <r>
    <n v="35"/>
    <n v="1422998"/>
    <n v="1207350"/>
    <s v="رنا "/>
    <x v="0"/>
    <s v="القطاميه "/>
    <x v="14"/>
    <x v="0"/>
    <x v="1"/>
    <s v="2 ميكانزم"/>
    <m/>
    <m/>
    <x v="3"/>
    <m/>
    <x v="11"/>
    <n v="7849"/>
    <n v="7928"/>
    <d v="2024-09-12T00:00:00"/>
    <d v="2024-09-26T00:00:00"/>
    <s v=" "/>
    <m/>
    <x v="0"/>
    <m/>
    <s v="تم التسليم عن طريق شركه شحن "/>
    <x v="0"/>
  </r>
  <r>
    <n v="36"/>
    <m/>
    <m/>
    <s v="عبير نور الدين"/>
    <x v="0"/>
    <s v="١٨ شارع البحيري بولاق الدكرور الجيزه "/>
    <x v="0"/>
    <x v="2"/>
    <x v="0"/>
    <s v="ثلاثه ادوار"/>
    <s v="كيفنج"/>
    <n v="100"/>
    <x v="1"/>
    <s v="اسود"/>
    <x v="24"/>
    <n v="9450"/>
    <n v="9450"/>
    <d v="2024-09-12T00:00:00"/>
    <d v="2024-09-26T00:00:00"/>
    <m/>
    <m/>
    <x v="0"/>
    <m/>
    <s v="ملغي"/>
    <x v="1"/>
  </r>
  <r>
    <n v="37"/>
    <n v="1459790"/>
    <n v="1218257"/>
    <s v="اسراء ابو العنين "/>
    <x v="0"/>
    <s v="القاهره الجديده"/>
    <x v="10"/>
    <x v="0"/>
    <x v="0"/>
    <s v="فردى"/>
    <s v="اسبانى"/>
    <n v="120"/>
    <x v="1"/>
    <s v="اسود"/>
    <x v="25"/>
    <n v="7460"/>
    <s v="مسبق الدفع"/>
    <d v="2024-09-13T00:00:00"/>
    <d v="2024-09-26T00:00:00"/>
    <d v="2024-10-03T00:00:00"/>
    <n v="1"/>
    <x v="2"/>
    <n v="20"/>
    <s v="تم التسليم محمود علي"/>
    <x v="0"/>
  </r>
  <r>
    <n v="38"/>
    <n v="1455486"/>
    <n v="1217163"/>
    <s v="وائل صادق"/>
    <x v="0"/>
    <s v="القاهره الجديده"/>
    <x v="10"/>
    <x v="0"/>
    <x v="0"/>
    <s v="فردى"/>
    <s v="كورين"/>
    <n v="140"/>
    <x v="5"/>
    <s v="رمادى"/>
    <x v="26"/>
    <n v="9528"/>
    <s v="مسبق الدفع"/>
    <d v="2024-09-13T00:00:00"/>
    <d v="2024-09-26T00:00:00"/>
    <d v="2024-10-03T00:00:00"/>
    <n v="1"/>
    <x v="2"/>
    <n v="20"/>
    <s v="تم التسليم محمود علي"/>
    <x v="0"/>
  </r>
  <r>
    <n v="39"/>
    <n v="1504407"/>
    <n v="1229760"/>
    <s v="حسن مغرب "/>
    <x v="0"/>
    <s v="٦ اكتوبر الجيزه "/>
    <x v="4"/>
    <x v="0"/>
    <x v="0"/>
    <s v="دورين"/>
    <s v="كيفنج"/>
    <n v="120"/>
    <x v="4"/>
    <s v="رمادي"/>
    <x v="27"/>
    <n v="12999"/>
    <s v="مسبق الدفع"/>
    <d v="2024-09-14T00:00:00"/>
    <d v="2024-09-27T00:00:00"/>
    <d v="2024-10-02T00:00:00"/>
    <n v="1"/>
    <x v="2"/>
    <n v="18"/>
    <s v="تم التسليم محمود علي"/>
    <x v="0"/>
  </r>
  <r>
    <n v="40"/>
    <n v="1423361"/>
    <n v="1207484"/>
    <s v="على السيد "/>
    <x v="0"/>
    <s v="الشروق القاهره "/>
    <x v="15"/>
    <x v="0"/>
    <x v="0"/>
    <s v="دورين"/>
    <s v="نوفال"/>
    <n v="90"/>
    <x v="1"/>
    <s v="اسود"/>
    <x v="28"/>
    <n v="5999"/>
    <s v="مسبق الدفع"/>
    <d v="2024-09-12T00:00:00"/>
    <d v="2024-09-29T00:00:00"/>
    <m/>
    <m/>
    <x v="0"/>
    <m/>
    <s v="ملغي"/>
    <x v="1"/>
  </r>
  <r>
    <n v="41"/>
    <n v="1415725"/>
    <n v="1204732"/>
    <s v="هشام بسيونى "/>
    <x v="0"/>
    <s v="حدايق الاهرام "/>
    <x v="16"/>
    <x v="0"/>
    <x v="0"/>
    <s v="دورين"/>
    <s v="كيفنج"/>
    <n v="100"/>
    <x v="1"/>
    <s v="اسود"/>
    <x v="29"/>
    <n v="11949"/>
    <n v="10749"/>
    <d v="2024-09-12T00:00:00"/>
    <d v="2024-09-29T00:00:00"/>
    <d v="2024-10-02T00:00:00"/>
    <n v="1"/>
    <x v="2"/>
    <n v="20"/>
    <s v="تم التسليم محمود علي"/>
    <x v="0"/>
  </r>
  <r>
    <n v="42"/>
    <n v="1415726"/>
    <n v="1204732"/>
    <s v="هشام بسيونى "/>
    <x v="0"/>
    <s v="حدايق الاهرام "/>
    <x v="16"/>
    <x v="0"/>
    <x v="0"/>
    <s v="دورين"/>
    <s v="كيفنج"/>
    <n v="100"/>
    <x v="1"/>
    <s v="اسود"/>
    <x v="29"/>
    <n v="11949"/>
    <n v="10749"/>
    <d v="2024-09-12T00:00:00"/>
    <d v="2024-09-29T00:00:00"/>
    <d v="2024-10-02T00:00:00"/>
    <n v="1"/>
    <x v="2"/>
    <n v="20"/>
    <s v="تم التسليم محمود علي"/>
    <x v="0"/>
  </r>
  <r>
    <n v="43"/>
    <n v="1499397"/>
    <n v="1228586"/>
    <s v="احمد "/>
    <x v="0"/>
    <s v="الشروق القاهره "/>
    <x v="15"/>
    <x v="0"/>
    <x v="0"/>
    <s v="ثلاثه ادوار"/>
    <s v="كيفنج"/>
    <n v="80"/>
    <x v="0"/>
    <s v="ابيض"/>
    <x v="30"/>
    <n v="16599"/>
    <s v="مسبق الدفع"/>
    <d v="2024-09-13T00:00:00"/>
    <d v="2024-09-30T00:00:00"/>
    <d v="2024-10-03T00:00:00"/>
    <n v="1"/>
    <x v="2"/>
    <n v="20"/>
    <s v="تم التسليم محمود علي"/>
    <x v="0"/>
  </r>
  <r>
    <n v="44"/>
    <n v="1458696"/>
    <n v="1217982"/>
    <s v="ساره وجيه "/>
    <x v="0"/>
    <s v="الغردقه "/>
    <x v="3"/>
    <x v="0"/>
    <x v="0"/>
    <s v="دورين"/>
    <s v="كيفنج"/>
    <n v="80"/>
    <x v="0"/>
    <s v="ابيض"/>
    <x v="31"/>
    <n v="10999"/>
    <s v="مسبق الدفع"/>
    <d v="2024-09-13T00:00:00"/>
    <d v="2024-09-30T00:00:00"/>
    <d v="2024-10-16T00:00:00"/>
    <n v="1"/>
    <x v="2"/>
    <n v="33"/>
    <s v="تم التسليم عن طريق شركه شحن "/>
    <x v="0"/>
  </r>
  <r>
    <n v="45"/>
    <n v="1480814"/>
    <n v="1223964"/>
    <s v="مها "/>
    <x v="0"/>
    <s v="لافيستا العين السخنه "/>
    <x v="13"/>
    <x v="0"/>
    <x v="0"/>
    <s v="دورين"/>
    <s v="كيفنج"/>
    <n v="140"/>
    <x v="2"/>
    <s v="ازرق"/>
    <x v="32"/>
    <n v="13099"/>
    <s v="مسبق الدفع"/>
    <d v="2024-09-13T00:00:00"/>
    <d v="2024-09-30T00:00:00"/>
    <d v="2024-10-03T00:00:00"/>
    <n v="1"/>
    <x v="2"/>
    <n v="20"/>
    <s v="تم التسليم عن طريق شركه شحن "/>
    <x v="0"/>
  </r>
  <r>
    <n v="46"/>
    <n v="1492471"/>
    <n v="1227052"/>
    <s v="بسام الشربينى "/>
    <x v="0"/>
    <s v="٦ اكتوبر الجيزه "/>
    <x v="4"/>
    <x v="0"/>
    <x v="0"/>
    <s v="دورين"/>
    <s v="كينج"/>
    <n v="120"/>
    <x v="6"/>
    <s v="بنفسجي"/>
    <x v="33"/>
    <n v="13849"/>
    <s v="مسبق الدفع"/>
    <d v="2024-09-13T00:00:00"/>
    <d v="2024-09-30T00:00:00"/>
    <d v="2024-10-20T00:00:00"/>
    <n v="1"/>
    <x v="2"/>
    <n v="37"/>
    <s v="تم التسليم محمود علي"/>
    <x v="0"/>
  </r>
  <r>
    <n v="47"/>
    <n v="1507912"/>
    <n v="1230527"/>
    <s v="هبه عبد الفتاح "/>
    <x v="0"/>
    <s v="القاهره الجديده "/>
    <x v="10"/>
    <x v="0"/>
    <x v="2"/>
    <s v="4*1"/>
    <m/>
    <m/>
    <x v="1"/>
    <s v="رمادى"/>
    <x v="34"/>
    <n v="21999"/>
    <s v="مسبق الدفع"/>
    <d v="2024-09-13T00:00:00"/>
    <d v="2024-09-30T00:00:00"/>
    <m/>
    <m/>
    <x v="0"/>
    <m/>
    <s v="تم التسليم محمود علي"/>
    <x v="0"/>
  </r>
  <r>
    <n v="48"/>
    <n v="1525747"/>
    <n v="1234936"/>
    <s v="اسراء ابراهيم "/>
    <x v="0"/>
    <s v="٦ اكتوبر الجيزه "/>
    <x v="4"/>
    <x v="0"/>
    <x v="0"/>
    <s v="دورين"/>
    <s v="كيفنج"/>
    <n v="80"/>
    <x v="0"/>
    <s v="ابيض"/>
    <x v="31"/>
    <n v="10999"/>
    <s v="مسبق الدفع"/>
    <d v="2024-09-13T00:00:00"/>
    <d v="2024-09-30T00:00:00"/>
    <d v="2024-10-15T00:00:00"/>
    <n v="1"/>
    <x v="2"/>
    <n v="32"/>
    <s v="تم التسليم محمود علي"/>
    <x v="0"/>
  </r>
  <r>
    <n v="49"/>
    <n v="1536313"/>
    <n v="1237601"/>
    <s v="طارق كمال "/>
    <x v="0"/>
    <s v="المعادى"/>
    <x v="11"/>
    <x v="0"/>
    <x v="0"/>
    <s v="ثلاثه ادوار"/>
    <s v="كيفنج"/>
    <n v="90"/>
    <x v="1"/>
    <s v="اسود"/>
    <x v="35"/>
    <n v="17249"/>
    <s v="مسبق الدفع"/>
    <d v="2024-09-13T00:00:00"/>
    <d v="2024-09-30T00:00:00"/>
    <d v="2024-10-04T00:00:00"/>
    <n v="1"/>
    <x v="2"/>
    <n v="21"/>
    <s v="تم التسليم محمود علي"/>
    <x v="0"/>
  </r>
  <r>
    <n v="50"/>
    <n v="1505609"/>
    <n v="1230031"/>
    <s v="ديفد بهجت "/>
    <x v="0"/>
    <s v="فيصل الجيزه"/>
    <x v="0"/>
    <x v="0"/>
    <x v="1"/>
    <s v="2 ميكانزم"/>
    <m/>
    <m/>
    <x v="3"/>
    <m/>
    <x v="36"/>
    <n v="8349"/>
    <s v="مسبق الدفع"/>
    <d v="2024-09-14T00:00:00"/>
    <d v="2024-10-16T00:00:00"/>
    <d v="2024-10-21T00:00:00"/>
    <n v="1"/>
    <x v="2"/>
    <n v="37"/>
    <s v="تم التسليم محمود علي"/>
    <x v="0"/>
  </r>
  <r>
    <n v="51"/>
    <n v="1612229"/>
    <n v="1254076"/>
    <s v="اياد "/>
    <x v="0"/>
    <s v="المقطم "/>
    <x v="17"/>
    <x v="0"/>
    <x v="1"/>
    <s v="بمكتبة"/>
    <m/>
    <m/>
    <x v="3"/>
    <m/>
    <x v="3"/>
    <n v="7849"/>
    <s v="مسبق الدفع"/>
    <d v="2024-09-14T00:00:00"/>
    <d v="2024-10-29T00:00:00"/>
    <d v="2024-10-30T00:00:00"/>
    <n v="1"/>
    <x v="2"/>
    <n v="46"/>
    <s v="تم التسليم محمود علي"/>
    <x v="0"/>
  </r>
  <r>
    <n v="52"/>
    <n v="1673771"/>
    <n v="1269559"/>
    <s v="ميار خورشد"/>
    <x v="0"/>
    <s v="٦ اكتوبر الجيزه "/>
    <x v="4"/>
    <x v="0"/>
    <x v="0"/>
    <s v="منطبق"/>
    <m/>
    <m/>
    <x v="1"/>
    <s v="اسود"/>
    <x v="37"/>
    <n v="9399"/>
    <s v="مسبق الدفع "/>
    <d v="2024-09-14T00:00:00"/>
    <d v="2024-10-29T00:00:00"/>
    <d v="2024-10-15T00:00:00"/>
    <n v="0"/>
    <x v="1"/>
    <n v="31"/>
    <s v="تم التسليم محمود علي"/>
    <x v="0"/>
  </r>
  <r>
    <n v="53"/>
    <n v="1667352"/>
    <n v="1267819"/>
    <s v="عبد الله سيد "/>
    <x v="0"/>
    <s v="الشيخ زايد ٦ اكتوبر "/>
    <x v="18"/>
    <x v="0"/>
    <x v="0"/>
    <s v="فردى"/>
    <s v="اسبانى"/>
    <n v="140"/>
    <x v="1"/>
    <s v="بيج"/>
    <x v="38"/>
    <n v="11817"/>
    <s v="مسبق الدفع "/>
    <d v="2024-09-14T00:00:00"/>
    <d v="2024-10-29T00:00:00"/>
    <d v="2024-10-15T00:00:00"/>
    <n v="0"/>
    <x v="1"/>
    <n v="31"/>
    <s v="تم التسليم محمود علي"/>
    <x v="0"/>
  </r>
  <r>
    <n v="54"/>
    <n v="1649781"/>
    <n v="1263160"/>
    <s v="كينج سونا "/>
    <x v="0"/>
    <s v="الشروق القاهره "/>
    <x v="15"/>
    <x v="0"/>
    <x v="1"/>
    <s v="رف سحاب"/>
    <m/>
    <m/>
    <x v="3"/>
    <m/>
    <x v="22"/>
    <n v="8349"/>
    <s v="مسبق الدفع "/>
    <d v="2024-09-14T00:00:00"/>
    <d v="2024-10-29T00:00:00"/>
    <d v="2024-10-19T00:00:00"/>
    <n v="0"/>
    <x v="1"/>
    <n v="35"/>
    <s v="تم التسليم محمود علي"/>
    <x v="0"/>
  </r>
  <r>
    <n v="55"/>
    <n v="1681476"/>
    <n v="1271813"/>
    <s v="احمد خالد "/>
    <x v="0"/>
    <s v="الرحاب"/>
    <x v="19"/>
    <x v="0"/>
    <x v="0"/>
    <s v="فردى"/>
    <s v="فورجينا"/>
    <n v="120"/>
    <x v="0"/>
    <s v="ابيض"/>
    <x v="39"/>
    <n v="17886"/>
    <s v="مسبق الدفع "/>
    <d v="2024-09-14T00:00:00"/>
    <d v="2024-10-29T00:00:00"/>
    <m/>
    <m/>
    <x v="0"/>
    <m/>
    <s v="ملغي"/>
    <x v="1"/>
  </r>
  <r>
    <n v="56"/>
    <n v="1681477"/>
    <n v="1271813"/>
    <s v="احمد خالد "/>
    <x v="0"/>
    <s v="الرحاب"/>
    <x v="19"/>
    <x v="0"/>
    <x v="0"/>
    <s v="فردى"/>
    <s v="فورجينا"/>
    <n v="120"/>
    <x v="0"/>
    <s v="ابيض"/>
    <x v="39"/>
    <n v="17886"/>
    <s v="مسبق الدفع "/>
    <d v="2024-09-14T00:00:00"/>
    <d v="2024-10-29T00:00:00"/>
    <m/>
    <m/>
    <x v="0"/>
    <m/>
    <s v="ملغي"/>
    <x v="1"/>
  </r>
  <r>
    <n v="57"/>
    <n v="1677530"/>
    <n v="1270704"/>
    <s v="ساره"/>
    <x v="0"/>
    <s v="القاهره الجديده"/>
    <x v="10"/>
    <x v="0"/>
    <x v="0"/>
    <s v="فردى"/>
    <s v="اسبانى"/>
    <n v="120"/>
    <x v="0"/>
    <s v="ابيض"/>
    <x v="40"/>
    <n v="10987"/>
    <s v="مسبق الدفع"/>
    <d v="2024-09-14T00:00:00"/>
    <d v="2024-10-29T00:00:00"/>
    <d v="2024-10-13T00:00:00"/>
    <n v="0"/>
    <x v="1"/>
    <n v="29"/>
    <s v="تم التسليم محمود علي"/>
    <x v="0"/>
  </r>
  <r>
    <n v="58"/>
    <n v="1677528"/>
    <n v="1270704"/>
    <s v="ساره"/>
    <x v="0"/>
    <s v="القاهره الجديده"/>
    <x v="10"/>
    <x v="0"/>
    <x v="0"/>
    <s v="فردى"/>
    <s v="اسبانى"/>
    <n v="120"/>
    <x v="0"/>
    <s v="ابيض"/>
    <x v="40"/>
    <n v="10987"/>
    <s v="مسبق الدفع"/>
    <d v="2024-09-14T00:00:00"/>
    <d v="2024-10-29T00:00:00"/>
    <d v="2024-10-13T00:00:00"/>
    <n v="0"/>
    <x v="1"/>
    <n v="29"/>
    <s v="تم التسليم محمود علي"/>
    <x v="0"/>
  </r>
  <r>
    <n v="59"/>
    <n v="1657744"/>
    <n v="1265268"/>
    <s v="احمد ايمن "/>
    <x v="0"/>
    <s v="العبور"/>
    <x v="20"/>
    <x v="0"/>
    <x v="1"/>
    <s v="2 ميكانزم"/>
    <m/>
    <m/>
    <x v="3"/>
    <m/>
    <x v="11"/>
    <n v="10319"/>
    <s v="مسبق الدفع"/>
    <d v="2024-09-14T00:00:00"/>
    <d v="2024-10-29T00:00:00"/>
    <d v="2024-10-19T00:00:00"/>
    <n v="0"/>
    <x v="1"/>
    <n v="35"/>
    <s v="تم التسليم محمود علي"/>
    <x v="0"/>
  </r>
  <r>
    <n v="60"/>
    <n v="1610613"/>
    <n v="1253646"/>
    <s v="مصطفي غنيم "/>
    <x v="0"/>
    <s v="اسيوط "/>
    <x v="21"/>
    <x v="0"/>
    <x v="0"/>
    <s v="دورين"/>
    <s v="كيفنج"/>
    <n v="120"/>
    <x v="4"/>
    <s v="رمادي"/>
    <x v="41"/>
    <n v="12999"/>
    <s v="مسبق الدفع "/>
    <d v="2024-09-14T00:00:00"/>
    <d v="2024-11-20T00:00:00"/>
    <d v="2024-10-17T00:00:00"/>
    <n v="0"/>
    <x v="1"/>
    <n v="33"/>
    <s v="تم التسليم عن طريق شركه شحن "/>
    <x v="0"/>
  </r>
  <r>
    <n v="61"/>
    <n v="1608468"/>
    <n v="1253172"/>
    <s v="حسام عبدون"/>
    <x v="0"/>
    <s v="الغردقه"/>
    <x v="3"/>
    <x v="0"/>
    <x v="2"/>
    <s v="4*1"/>
    <m/>
    <m/>
    <x v="1"/>
    <s v="رمادى"/>
    <x v="34"/>
    <n v="21999"/>
    <s v="مسبق الدفع"/>
    <d v="2024-09-14T00:00:00"/>
    <d v="2024-11-20T00:00:00"/>
    <m/>
    <m/>
    <x v="0"/>
    <m/>
    <s v="ملغي"/>
    <x v="1"/>
  </r>
  <r>
    <n v="62"/>
    <n v="1654554"/>
    <n v="1264469"/>
    <s v="رامى "/>
    <x v="0"/>
    <s v="الشروق القاهره "/>
    <x v="15"/>
    <x v="0"/>
    <x v="0"/>
    <s v="دورين"/>
    <s v="نوفال"/>
    <n v="100"/>
    <x v="4"/>
    <s v="رمادي"/>
    <x v="42"/>
    <n v="12399"/>
    <s v="مسبق الدفع"/>
    <d v="2024-09-14T00:00:00"/>
    <d v="2024-11-20T00:00:00"/>
    <d v="2024-10-01T00:00:00"/>
    <n v="0"/>
    <x v="1"/>
    <n v="17"/>
    <s v="تم التسليم عن طريق شركه شحن "/>
    <x v="0"/>
  </r>
  <r>
    <n v="63"/>
    <n v="1644504"/>
    <n v="1261644"/>
    <s v="رحاب"/>
    <x v="0"/>
    <s v="القاهره الجديده"/>
    <x v="10"/>
    <x v="0"/>
    <x v="2"/>
    <s v="4*1"/>
    <m/>
    <m/>
    <x v="1"/>
    <s v="رمادى"/>
    <x v="34"/>
    <n v="21999"/>
    <s v="مسبق الدفع"/>
    <d v="2024-09-14T00:00:00"/>
    <d v="2024-11-20T00:00:00"/>
    <d v="2024-10-09T00:00:00"/>
    <n v="0"/>
    <x v="1"/>
    <n v="25"/>
    <s v="تم التسليم محمود علي"/>
    <x v="0"/>
  </r>
  <r>
    <n v="64"/>
    <n v="1655447"/>
    <n v="1264684"/>
    <s v="فؤاد المنسي "/>
    <x v="0"/>
    <s v="المقطم "/>
    <x v="17"/>
    <x v="0"/>
    <x v="0"/>
    <s v="دورين"/>
    <s v="نوفال"/>
    <n v="80"/>
    <x v="0"/>
    <s v="ابيض"/>
    <x v="43"/>
    <n v="10999"/>
    <s v="مسبق الدفع "/>
    <d v="2024-09-14T00:00:00"/>
    <d v="2024-11-20T00:00:00"/>
    <d v="2024-10-16T00:00:00"/>
    <n v="0"/>
    <x v="1"/>
    <n v="32"/>
    <s v="تم التسليم محمود علي"/>
    <x v="0"/>
  </r>
  <r>
    <n v="65"/>
    <n v="1679731"/>
    <n v="1271291"/>
    <s v="mohannad"/>
    <x v="0"/>
    <s v="EL-Maadi"/>
    <x v="11"/>
    <x v="0"/>
    <x v="0"/>
    <s v="دورين"/>
    <s v="كيفنج"/>
    <n v="80"/>
    <x v="0"/>
    <s v="ابيض"/>
    <x v="31"/>
    <n v="10999"/>
    <s v="مسبق الدفع "/>
    <d v="2024-09-15T00:00:00"/>
    <d v="2024-11-20T00:00:00"/>
    <d v="2024-10-16T00:00:00"/>
    <n v="0"/>
    <x v="1"/>
    <n v="31"/>
    <s v="تم التسليم محمود علي"/>
    <x v="0"/>
  </r>
  <r>
    <n v="66"/>
    <n v="1679739"/>
    <n v="1271291"/>
    <s v="mohannad"/>
    <x v="0"/>
    <s v="EL-Maadi"/>
    <x v="11"/>
    <x v="0"/>
    <x v="0"/>
    <s v="دورين"/>
    <s v="كيفنج"/>
    <n v="80"/>
    <x v="0"/>
    <s v="ابيض"/>
    <x v="31"/>
    <n v="10999"/>
    <s v="مسبق الدفع "/>
    <d v="2024-09-15T00:00:00"/>
    <d v="2024-11-20T00:00:00"/>
    <d v="2024-10-16T00:00:00"/>
    <n v="0"/>
    <x v="1"/>
    <n v="31"/>
    <s v="تم التسليم محمود علي"/>
    <x v="0"/>
  </r>
  <r>
    <n v="67"/>
    <n v="1670668"/>
    <n v="1268695"/>
    <s v="Mohamed Ayman"/>
    <x v="0"/>
    <s v="Madinet Badr"/>
    <x v="22"/>
    <x v="0"/>
    <x v="2"/>
    <s v="4*1"/>
    <m/>
    <m/>
    <x v="1"/>
    <s v="رمادى"/>
    <x v="34"/>
    <n v="21999"/>
    <s v="مسبق الدفع "/>
    <d v="2024-09-15T00:00:00"/>
    <d v="2024-11-20T00:00:00"/>
    <d v="2024-10-19T00:00:00"/>
    <n v="0"/>
    <x v="1"/>
    <n v="34"/>
    <s v="تم التسليم محمود علي"/>
    <x v="0"/>
  </r>
  <r>
    <n v="68"/>
    <n v="1416625"/>
    <n v="1205197"/>
    <s v="اسامه"/>
    <x v="0"/>
    <s v="العين السخنه"/>
    <x v="13"/>
    <x v="0"/>
    <x v="1"/>
    <s v="2 ميكانزم"/>
    <m/>
    <m/>
    <x v="3"/>
    <m/>
    <x v="11"/>
    <n v="7849"/>
    <n v="6306"/>
    <d v="2024-09-16T00:00:00"/>
    <d v="2024-10-30T00:00:00"/>
    <d v="2024-11-14T00:00:00"/>
    <n v="1"/>
    <x v="2"/>
    <n v="59"/>
    <s v="تم التسليم عن طريق شركه شحن "/>
    <x v="0"/>
  </r>
  <r>
    <n v="69"/>
    <m/>
    <m/>
    <s v="اوسكار راتن"/>
    <x v="1"/>
    <s v="المخزن ابو الغيط "/>
    <x v="23"/>
    <x v="4"/>
    <x v="0"/>
    <s v="دورين"/>
    <s v="كيفنج"/>
    <n v="80"/>
    <x v="0"/>
    <s v="ابيض"/>
    <x v="31"/>
    <n v="5074"/>
    <s v="حساب شركه"/>
    <d v="2024-09-21T00:00:00"/>
    <d v="2024-10-05T00:00:00"/>
    <d v="2024-10-12T00:00:00"/>
    <n v="1"/>
    <x v="2"/>
    <n v="21"/>
    <s v="تم التسليم محمود علي"/>
    <x v="0"/>
  </r>
  <r>
    <n v="70"/>
    <n v="2514"/>
    <n v="2514"/>
    <s v="تاكى "/>
    <x v="1"/>
    <s v="العباسيه"/>
    <x v="6"/>
    <x v="3"/>
    <x v="0"/>
    <s v="دورين"/>
    <s v="كينج"/>
    <n v="100"/>
    <x v="7"/>
    <m/>
    <x v="44"/>
    <n v="6250"/>
    <s v="حساب شركه"/>
    <d v="2024-09-23T00:00:00"/>
    <d v="2024-10-08T00:00:00"/>
    <d v="2024-10-17T00:00:00"/>
    <n v="1"/>
    <x v="2"/>
    <n v="24"/>
    <s v="تم التسليم محمود علي"/>
    <x v="0"/>
  </r>
  <r>
    <n v="71"/>
    <n v="2514"/>
    <n v="2514"/>
    <s v="تاكى "/>
    <x v="1"/>
    <s v="العباسيه"/>
    <x v="6"/>
    <x v="3"/>
    <x v="0"/>
    <s v="دورين"/>
    <s v="كينج"/>
    <n v="100"/>
    <x v="7"/>
    <m/>
    <x v="44"/>
    <n v="6250"/>
    <s v="حساب شركه"/>
    <d v="2024-09-23T00:00:00"/>
    <d v="2024-10-08T00:00:00"/>
    <d v="2024-10-17T00:00:00"/>
    <n v="1"/>
    <x v="2"/>
    <n v="24"/>
    <s v="تم التسليم محمود علي"/>
    <x v="0"/>
  </r>
  <r>
    <n v="72"/>
    <n v="1706794"/>
    <n v="1281428"/>
    <s v="ولاء بدوى"/>
    <x v="0"/>
    <s v="العباسيه"/>
    <x v="6"/>
    <x v="0"/>
    <x v="0"/>
    <s v="فردى"/>
    <s v="فورجينا"/>
    <n v="120"/>
    <x v="0"/>
    <m/>
    <x v="45"/>
    <n v="8943"/>
    <n v="9033"/>
    <d v="2024-09-26T00:00:00"/>
    <d v="2024-11-10T00:00:00"/>
    <d v="2024-10-10T00:00:00"/>
    <n v="0"/>
    <x v="1"/>
    <n v="14"/>
    <s v="تم التسليم محمود علي"/>
    <x v="0"/>
  </r>
  <r>
    <n v="73"/>
    <n v="1704621"/>
    <n v="1280197"/>
    <s v="عبد الرحمن يسري"/>
    <x v="0"/>
    <s v="٦ اكتوبر الجيزه "/>
    <x v="4"/>
    <x v="0"/>
    <x v="1"/>
    <s v="رف سحاب"/>
    <m/>
    <m/>
    <x v="3"/>
    <m/>
    <x v="46"/>
    <n v="8349"/>
    <n v="8433"/>
    <d v="2024-09-26T00:00:00"/>
    <d v="2024-11-10T00:00:00"/>
    <m/>
    <m/>
    <x v="0"/>
    <m/>
    <s v="ملغي"/>
    <x v="1"/>
  </r>
  <r>
    <n v="74"/>
    <n v="240078066"/>
    <m/>
    <s v="شيك هومز "/>
    <x v="1"/>
    <s v="التجمع"/>
    <x v="24"/>
    <x v="1"/>
    <x v="2"/>
    <s v="4*1"/>
    <m/>
    <m/>
    <x v="1"/>
    <s v="نبيتى "/>
    <x v="47"/>
    <n v="14950"/>
    <s v="مسبق الدفع"/>
    <d v="2024-09-26T00:00:00"/>
    <d v="2024-10-14T00:00:00"/>
    <d v="2024-10-13T00:00:00"/>
    <n v="0"/>
    <x v="1"/>
    <n v="17"/>
    <s v="تم التسليم محمود علي"/>
    <x v="0"/>
  </r>
  <r>
    <n v="75"/>
    <n v="240077789"/>
    <m/>
    <s v="شيك هومز "/>
    <x v="1"/>
    <m/>
    <x v="4"/>
    <x v="1"/>
    <x v="0"/>
    <s v="دورين"/>
    <s v="كينج"/>
    <n v="100"/>
    <x v="1"/>
    <m/>
    <x v="18"/>
    <n v="9208"/>
    <n v="9608"/>
    <d v="2024-09-26T00:00:00"/>
    <d v="2024-10-14T00:00:00"/>
    <m/>
    <m/>
    <x v="0"/>
    <m/>
    <s v="ملغي"/>
    <x v="1"/>
  </r>
  <r>
    <n v="76"/>
    <n v="240078390"/>
    <m/>
    <s v="شيك هومز "/>
    <x v="1"/>
    <m/>
    <x v="4"/>
    <x v="1"/>
    <x v="0"/>
    <s v="فردى"/>
    <s v="اسبانى"/>
    <n v="120"/>
    <x v="0"/>
    <m/>
    <x v="16"/>
    <n v="7433"/>
    <s v="مسبق الدفع"/>
    <d v="2024-09-29T00:00:00"/>
    <d v="2024-10-20T00:00:00"/>
    <d v="2024-10-21T00:00:00"/>
    <n v="1"/>
    <x v="2"/>
    <n v="22"/>
    <s v="تم التسليم محمود علي"/>
    <x v="0"/>
  </r>
  <r>
    <n v="77"/>
    <m/>
    <m/>
    <s v="اوسكار راتن"/>
    <x v="1"/>
    <s v="المخزن ابو الغيط "/>
    <x v="23"/>
    <x v="4"/>
    <x v="0"/>
    <s v="فردى"/>
    <s v="فورجينا"/>
    <n v="120"/>
    <x v="0"/>
    <m/>
    <x v="45"/>
    <n v="4020"/>
    <s v="حساب شركه"/>
    <d v="2024-09-29T00:00:00"/>
    <d v="2024-10-12T00:00:00"/>
    <d v="2024-10-12T00:00:00"/>
    <n v="1"/>
    <x v="2"/>
    <n v="13"/>
    <s v="تم التسليم محمود علي"/>
    <x v="0"/>
  </r>
  <r>
    <n v="78"/>
    <m/>
    <m/>
    <s v="الحج محمد السويس"/>
    <x v="0"/>
    <s v="السويس "/>
    <x v="25"/>
    <x v="5"/>
    <x v="0"/>
    <s v="دورين"/>
    <s v="فانتاستك"/>
    <n v="100"/>
    <x v="8"/>
    <m/>
    <x v="48"/>
    <n v="8544.9054400000005"/>
    <m/>
    <d v="2024-10-01T00:00:00"/>
    <d v="2024-10-09T00:00:00"/>
    <d v="2024-10-09T00:00:00"/>
    <n v="1"/>
    <x v="2"/>
    <n v="8"/>
    <s v="تم التسليم بمعرفه الحج سيد "/>
    <x v="0"/>
  </r>
  <r>
    <n v="79"/>
    <m/>
    <m/>
    <s v="الحج محمد السويس"/>
    <x v="0"/>
    <s v="السويس "/>
    <x v="25"/>
    <x v="5"/>
    <x v="0"/>
    <s v="منطبق"/>
    <m/>
    <m/>
    <x v="1"/>
    <s v="بيج"/>
    <x v="49"/>
    <n v="4600"/>
    <m/>
    <d v="2024-10-01T00:00:00"/>
    <d v="2024-10-09T00:00:00"/>
    <d v="2024-10-09T00:00:00"/>
    <n v="1"/>
    <x v="2"/>
    <n v="8"/>
    <s v="تم التسليم بمعرفه الحج سيد "/>
    <x v="0"/>
  </r>
  <r>
    <n v="80"/>
    <m/>
    <m/>
    <s v="الحج محمد السويس"/>
    <x v="0"/>
    <s v="السويس "/>
    <x v="25"/>
    <x v="5"/>
    <x v="2"/>
    <s v="فنيسيا"/>
    <m/>
    <m/>
    <x v="1"/>
    <s v="رصاصي مشجر"/>
    <x v="50"/>
    <n v="10000"/>
    <m/>
    <d v="2024-10-01T00:00:00"/>
    <d v="2024-10-09T00:00:00"/>
    <d v="2024-10-09T00:00:00"/>
    <n v="1"/>
    <x v="2"/>
    <n v="8"/>
    <s v="تم التسليم بمعرفه الحج سيد "/>
    <x v="0"/>
  </r>
  <r>
    <n v="81"/>
    <m/>
    <m/>
    <s v="الحج محمد السويس"/>
    <x v="0"/>
    <s v="السويس "/>
    <x v="25"/>
    <x v="5"/>
    <x v="5"/>
    <m/>
    <m/>
    <m/>
    <x v="1"/>
    <s v="نبيتى "/>
    <x v="51"/>
    <m/>
    <m/>
    <d v="2024-10-01T00:00:00"/>
    <d v="2024-10-09T00:00:00"/>
    <d v="2024-10-09T00:00:00"/>
    <n v="1"/>
    <x v="2"/>
    <n v="8"/>
    <s v="تم التسليم بمعرفه الحج سيد "/>
    <x v="0"/>
  </r>
  <r>
    <n v="82"/>
    <n v="1282228"/>
    <n v="1708226"/>
    <s v="عمرو الأسود"/>
    <x v="0"/>
    <s v="الزمالك"/>
    <x v="26"/>
    <x v="0"/>
    <x v="0"/>
    <s v="منطبق"/>
    <m/>
    <m/>
    <x v="1"/>
    <s v="اسود"/>
    <x v="1"/>
    <n v="8899"/>
    <n v="8988"/>
    <d v="2024-10-03T00:00:00"/>
    <d v="2024-11-17T00:00:00"/>
    <m/>
    <m/>
    <x v="0"/>
    <m/>
    <s v="ملغي"/>
    <x v="1"/>
  </r>
  <r>
    <n v="83"/>
    <n v="240079328"/>
    <m/>
    <s v="شيك هومز "/>
    <x v="1"/>
    <s v="مخزن شيك هومز"/>
    <x v="27"/>
    <x v="1"/>
    <x v="2"/>
    <s v="4*1"/>
    <m/>
    <m/>
    <x v="1"/>
    <s v="بترولى "/>
    <x v="52"/>
    <n v="14550"/>
    <s v="مسبق الدفع"/>
    <d v="2024-10-08T00:00:00"/>
    <d v="2024-10-29T00:00:00"/>
    <d v="2024-10-30T00:00:00"/>
    <n v="1"/>
    <x v="2"/>
    <n v="22"/>
    <s v="تم التسليم محمود علي"/>
    <x v="0"/>
  </r>
  <r>
    <n v="84"/>
    <n v="240078933"/>
    <m/>
    <s v="شيك هومز "/>
    <x v="1"/>
    <s v="٦ اكتوبر الجيزه "/>
    <x v="4"/>
    <x v="1"/>
    <x v="2"/>
    <s v="4*1"/>
    <m/>
    <m/>
    <x v="1"/>
    <s v="بترولى "/>
    <x v="52"/>
    <n v="14550"/>
    <s v="مسبق الدفع"/>
    <d v="2024-10-07T00:00:00"/>
    <d v="2024-10-29T00:00:00"/>
    <d v="2024-10-15T00:00:00"/>
    <n v="0"/>
    <x v="1"/>
    <n v="8"/>
    <s v="تم التسليم محمود علي"/>
    <x v="0"/>
  </r>
  <r>
    <n v="85"/>
    <n v="240079517"/>
    <m/>
    <s v="شيك هومز "/>
    <x v="1"/>
    <m/>
    <x v="4"/>
    <x v="1"/>
    <x v="2"/>
    <s v="4*1"/>
    <m/>
    <m/>
    <x v="1"/>
    <s v="نبيتى "/>
    <x v="47"/>
    <n v="14550"/>
    <n v="11495"/>
    <d v="2024-10-10T00:00:00"/>
    <d v="2024-10-31T00:00:00"/>
    <d v="2024-11-02T00:00:00"/>
    <n v="1"/>
    <x v="2"/>
    <n v="23"/>
    <s v="تم التسليم محمود علي"/>
    <x v="0"/>
  </r>
  <r>
    <n v="86"/>
    <n v="1714623"/>
    <n v="1284697"/>
    <s v="keira"/>
    <x v="0"/>
    <s v="القاهره الجديده "/>
    <x v="10"/>
    <x v="0"/>
    <x v="0"/>
    <s v="دورين"/>
    <s v="نوفال "/>
    <s v="١٤٠/١٠٠"/>
    <x v="9"/>
    <m/>
    <x v="53"/>
    <n v="12899"/>
    <n v="13028"/>
    <d v="2024-10-13T00:00:00"/>
    <d v="2024-12-17T00:00:00"/>
    <d v="2024-11-02T00:00:00"/>
    <n v="0"/>
    <x v="1"/>
    <n v="20"/>
    <s v="تم التسليم محمود علي"/>
    <x v="0"/>
  </r>
  <r>
    <n v="87"/>
    <n v="1715473"/>
    <n v="1285152"/>
    <s v="tarek"/>
    <x v="0"/>
    <s v="مصر الجديده"/>
    <x v="7"/>
    <x v="0"/>
    <x v="0"/>
    <s v="دورين"/>
    <s v="كيفنج"/>
    <n v="80"/>
    <x v="0"/>
    <s v="ابيض"/>
    <x v="31"/>
    <n v="10499"/>
    <s v="مسبق الدفع"/>
    <d v="2024-10-16T00:00:00"/>
    <d v="2024-12-19T00:00:00"/>
    <d v="2024-10-21T00:00:00"/>
    <n v="0"/>
    <x v="1"/>
    <n v="5"/>
    <s v="تم التسليم محمود علي"/>
    <x v="0"/>
  </r>
  <r>
    <n v="89"/>
    <n v="1715992"/>
    <n v="1285423"/>
    <s v="reem"/>
    <x v="0"/>
    <s v="البطاش اسكندريه"/>
    <x v="1"/>
    <x v="0"/>
    <x v="0"/>
    <s v="دورين"/>
    <s v="نوفال"/>
    <s v="١٠٠/١٤٠"/>
    <x v="9"/>
    <m/>
    <x v="54"/>
    <n v="12899"/>
    <s v="مسبق الدفع"/>
    <d v="2024-10-17T00:00:00"/>
    <d v="2024-12-22T00:00:00"/>
    <d v="2024-12-03T00:00:00"/>
    <n v="0"/>
    <x v="1"/>
    <n v="47"/>
    <s v="تم التسليم عن طريق شركه شحن "/>
    <x v="0"/>
  </r>
  <r>
    <n v="90"/>
    <s v="s03163"/>
    <m/>
    <s v="هشام سامى"/>
    <x v="0"/>
    <s v="41 كومبوند جولدن جستس الدور 4 شقه 4"/>
    <x v="17"/>
    <x v="6"/>
    <x v="0"/>
    <s v="فردى"/>
    <s v="بلحه"/>
    <n v="140"/>
    <x v="10"/>
    <s v="خشب بنى فاتح"/>
    <x v="55"/>
    <n v="5135"/>
    <s v="مسبق الدفع"/>
    <d v="2024-10-20T00:00:00"/>
    <d v="2024-11-17T00:00:00"/>
    <d v="2024-11-14T00:00:00"/>
    <n v="0"/>
    <x v="1"/>
    <n v="25"/>
    <s v="تم التسليم محمود علي"/>
    <x v="0"/>
  </r>
  <r>
    <n v="91"/>
    <n v="240080607"/>
    <m/>
    <s v="شيك هومز "/>
    <x v="1"/>
    <s v="٦ اكتوبر الجيزه "/>
    <x v="4"/>
    <x v="1"/>
    <x v="0"/>
    <s v="دورين"/>
    <s v="فانتاستك"/>
    <n v="100"/>
    <x v="11"/>
    <m/>
    <x v="48"/>
    <n v="12777.5"/>
    <n v="11277.5"/>
    <d v="2024-10-22T00:00:00"/>
    <d v="2024-11-12T00:00:00"/>
    <d v="2024-11-18T00:00:00"/>
    <n v="1"/>
    <x v="2"/>
    <n v="27"/>
    <s v="تم التسليم محمود علي"/>
    <x v="0"/>
  </r>
  <r>
    <n v="92"/>
    <n v="240080607"/>
    <m/>
    <s v="شيك هومز "/>
    <x v="1"/>
    <s v="٦ اكتوبر الجيزه "/>
    <x v="4"/>
    <x v="1"/>
    <x v="0"/>
    <s v="دورين"/>
    <s v="فانتاستك"/>
    <n v="100"/>
    <x v="11"/>
    <m/>
    <x v="48"/>
    <n v="12777.5"/>
    <n v="11277.5"/>
    <d v="2024-10-22T00:00:00"/>
    <d v="2024-11-12T00:00:00"/>
    <d v="2024-11-18T00:00:00"/>
    <n v="1"/>
    <x v="2"/>
    <n v="27"/>
    <s v="تم التسليم محمود علي"/>
    <x v="0"/>
  </r>
  <r>
    <n v="94"/>
    <n v="1717458"/>
    <n v="1286189"/>
    <s v="فاطمه محمد"/>
    <x v="0"/>
    <s v="٦ اكتوبر الجيزه "/>
    <x v="4"/>
    <x v="0"/>
    <x v="0"/>
    <s v="فردى"/>
    <s v="فورجينا"/>
    <n v="120"/>
    <x v="0"/>
    <m/>
    <x v="45"/>
    <n v="8943"/>
    <n v="9007.01"/>
    <d v="2024-10-21T00:00:00"/>
    <d v="2024-11-14T00:00:00"/>
    <d v="2024-11-18T00:00:00"/>
    <n v="1"/>
    <x v="2"/>
    <n v="28"/>
    <s v="تم التسليم محمود علي"/>
    <x v="0"/>
  </r>
  <r>
    <n v="95"/>
    <n v="240080858"/>
    <m/>
    <s v="شيك هومز "/>
    <x v="1"/>
    <m/>
    <x v="4"/>
    <x v="1"/>
    <x v="2"/>
    <s v="4*1"/>
    <m/>
    <m/>
    <x v="1"/>
    <s v="اسود"/>
    <x v="56"/>
    <n v="15516"/>
    <s v="مسبق الدفع"/>
    <d v="2024-10-24T00:00:00"/>
    <d v="2024-11-14T00:00:00"/>
    <d v="2024-10-30T00:00:00"/>
    <n v="0"/>
    <x v="1"/>
    <n v="6"/>
    <s v="تم التسليم محمود علي"/>
    <x v="0"/>
  </r>
  <r>
    <n v="96"/>
    <n v="240081061"/>
    <m/>
    <s v="شيك هومز "/>
    <x v="1"/>
    <m/>
    <x v="4"/>
    <x v="1"/>
    <x v="0"/>
    <s v="دورين"/>
    <s v="كينج"/>
    <n v="100"/>
    <x v="1"/>
    <m/>
    <x v="18"/>
    <n v="10045"/>
    <n v="8879"/>
    <d v="2024-10-26T00:00:00"/>
    <d v="2024-11-16T00:00:00"/>
    <m/>
    <m/>
    <x v="0"/>
    <m/>
    <s v="ملغي"/>
    <x v="1"/>
  </r>
  <r>
    <n v="97"/>
    <n v="1718948"/>
    <n v="1286883"/>
    <s v="ساره"/>
    <x v="0"/>
    <s v="الشيخ زايد ٦ اكتوبر "/>
    <x v="18"/>
    <x v="0"/>
    <x v="0"/>
    <s v="دورين"/>
    <s v="كينج"/>
    <n v="90"/>
    <x v="1"/>
    <m/>
    <x v="57"/>
    <n v="11649"/>
    <n v="11749"/>
    <d v="2024-10-26T00:00:00"/>
    <d v="2024-11-10T00:00:00"/>
    <d v="2024-11-18T00:00:00"/>
    <n v="1"/>
    <x v="2"/>
    <n v="23"/>
    <s v="تم التسليم محمود علي"/>
    <x v="0"/>
  </r>
  <r>
    <n v="98"/>
    <n v="1718949"/>
    <n v="1286883"/>
    <s v="ساره"/>
    <x v="0"/>
    <s v="الشيخ زايد ٦ اكتوبر "/>
    <x v="18"/>
    <x v="0"/>
    <x v="0"/>
    <s v="دورين"/>
    <s v="كينج"/>
    <n v="90"/>
    <x v="1"/>
    <m/>
    <x v="57"/>
    <n v="11649"/>
    <n v="11749"/>
    <d v="2024-10-26T00:00:00"/>
    <d v="2024-11-10T00:00:00"/>
    <d v="2024-11-18T00:00:00"/>
    <n v="1"/>
    <x v="2"/>
    <n v="23"/>
    <s v="تم التسليم محمود علي"/>
    <x v="0"/>
  </r>
  <r>
    <n v="99"/>
    <m/>
    <m/>
    <s v="بولا هومزمارت"/>
    <x v="1"/>
    <s v="المعادى"/>
    <x v="11"/>
    <x v="0"/>
    <x v="0"/>
    <s v="فردى"/>
    <s v="اسبانى"/>
    <n v="100"/>
    <x v="0"/>
    <m/>
    <x v="58"/>
    <n v="5100"/>
    <n v="4800"/>
    <d v="2024-10-28T00:00:00"/>
    <d v="2024-11-11T00:00:00"/>
    <d v="2024-11-21T00:00:00"/>
    <n v="1"/>
    <x v="2"/>
    <n v="24"/>
    <s v="تم التسليم محمود علي"/>
    <x v="0"/>
  </r>
  <r>
    <n v="100"/>
    <m/>
    <m/>
    <s v="بولا هومزمارت"/>
    <x v="1"/>
    <s v="المعادى"/>
    <x v="11"/>
    <x v="0"/>
    <x v="0"/>
    <s v="فردى"/>
    <s v="اسبانى"/>
    <n v="120"/>
    <x v="0"/>
    <m/>
    <x v="16"/>
    <n v="5300"/>
    <n v="4800"/>
    <d v="2024-10-28T00:00:00"/>
    <d v="2024-11-11T00:00:00"/>
    <d v="2024-11-21T00:00:00"/>
    <n v="1"/>
    <x v="2"/>
    <n v="24"/>
    <s v="تم التسليم محمود علي"/>
    <x v="0"/>
  </r>
  <r>
    <n v="101"/>
    <n v="1744766"/>
    <n v="1298738"/>
    <s v="محمد شكرى "/>
    <x v="0"/>
    <s v="مدينتى"/>
    <x v="28"/>
    <x v="0"/>
    <x v="0"/>
    <s v="دورين"/>
    <s v="كيفنج"/>
    <n v="80"/>
    <x v="0"/>
    <s v="ابيض"/>
    <x v="31"/>
    <n v="12099"/>
    <s v="مسبق الدفع"/>
    <d v="2024-11-11T00:00:00"/>
    <d v="2024-11-26T00:00:00"/>
    <d v="2024-11-27T00:00:00"/>
    <n v="1"/>
    <x v="2"/>
    <n v="16"/>
    <s v="تم التسليم محمود علي"/>
    <x v="0"/>
  </r>
  <r>
    <n v="102"/>
    <n v="240082226"/>
    <m/>
    <s v="شيك هومز"/>
    <x v="1"/>
    <s v="مخزن شيك هومز"/>
    <x v="27"/>
    <x v="1"/>
    <x v="2"/>
    <s v="4*1"/>
    <s v="ارينا"/>
    <m/>
    <x v="1"/>
    <s v="بترولى"/>
    <x v="52"/>
    <n v="15872"/>
    <s v="مسبق"/>
    <d v="2024-11-08T00:00:00"/>
    <d v="2024-03-12T00:00:00"/>
    <d v="2024-11-14T00:00:00"/>
    <n v="1"/>
    <x v="2"/>
    <n v="6"/>
    <s v="تم التسليم محمود علي"/>
    <x v="0"/>
  </r>
  <r>
    <n v="103"/>
    <s v="so3290"/>
    <m/>
    <s v="منزلى"/>
    <x v="0"/>
    <s v="التجمع الخامس"/>
    <x v="5"/>
    <x v="6"/>
    <x v="0"/>
    <s v="فردى"/>
    <s v="فورجينا"/>
    <n v="120"/>
    <x v="0"/>
    <m/>
    <x v="45"/>
    <n v="4520"/>
    <s v="حساب شركه"/>
    <d v="2024-11-10T00:00:00"/>
    <d v="2024-11-22T00:00:00"/>
    <d v="2024-11-21T00:00:00"/>
    <n v="0"/>
    <x v="1"/>
    <n v="11"/>
    <s v="تم التسليم محمود علي"/>
    <x v="0"/>
  </r>
  <r>
    <n v="104"/>
    <s v="s_6725"/>
    <m/>
    <s v="اوسكار راتن"/>
    <x v="1"/>
    <s v="المخزن ابو الغيط "/>
    <x v="23"/>
    <x v="4"/>
    <x v="0"/>
    <s v="دورين"/>
    <s v="كينج"/>
    <n v="90"/>
    <x v="1"/>
    <m/>
    <x v="57"/>
    <n v="5766"/>
    <s v="حساب شركه"/>
    <d v="2024-11-12T00:00:00"/>
    <d v="2024-11-26T00:00:00"/>
    <d v="2024-11-25T00:00:00"/>
    <n v="0"/>
    <x v="1"/>
    <n v="13"/>
    <s v="تم التسليم محمود علي"/>
    <x v="0"/>
  </r>
  <r>
    <n v="105"/>
    <n v="1752544"/>
    <n v="1302011"/>
    <s v="حماده"/>
    <x v="0"/>
    <s v="المعادى"/>
    <x v="11"/>
    <x v="0"/>
    <x v="0"/>
    <s v="فردى"/>
    <s v="فورجينا"/>
    <n v="160"/>
    <x v="6"/>
    <m/>
    <x v="59"/>
    <n v="11395"/>
    <s v="مسبق الدفع"/>
    <d v="2024-11-12T00:00:00"/>
    <d v="2024-11-24T00:00:00"/>
    <d v="2024-11-27T00:00:00"/>
    <n v="1"/>
    <x v="2"/>
    <n v="15"/>
    <s v="تم التسليم محمود علي"/>
    <x v="0"/>
  </r>
  <r>
    <n v="106"/>
    <n v="1755075"/>
    <n v="1303159"/>
    <s v="صفاء عبد الباقي"/>
    <x v="0"/>
    <s v="التجمع الخامس"/>
    <x v="5"/>
    <x v="0"/>
    <x v="0"/>
    <s v="دورين"/>
    <s v="كينج "/>
    <n v="80"/>
    <x v="0"/>
    <m/>
    <x v="60"/>
    <n v="12919"/>
    <s v="مسبق الدفع"/>
    <d v="2024-11-14T00:00:00"/>
    <d v="2024-11-30T00:00:00"/>
    <d v="2024-11-27T00:00:00"/>
    <n v="0"/>
    <x v="1"/>
    <n v="13"/>
    <s v="تم التسليم محمود علي"/>
    <x v="0"/>
  </r>
  <r>
    <n v="107"/>
    <s v="s_6806"/>
    <m/>
    <s v="اوسكار راتن"/>
    <x v="1"/>
    <s v="المخزن ابو الغيط "/>
    <x v="23"/>
    <x v="4"/>
    <x v="0"/>
    <s v="دورين"/>
    <s v="نوفال"/>
    <n v="120"/>
    <x v="4"/>
    <m/>
    <x v="61"/>
    <n v="6376"/>
    <s v="حساب شركه"/>
    <d v="2024-11-14T00:00:00"/>
    <d v="2024-11-27T00:00:00"/>
    <d v="2024-11-25T00:00:00"/>
    <n v="0"/>
    <x v="1"/>
    <n v="11"/>
    <s v="تم التسليم محمود علي"/>
    <x v="0"/>
  </r>
  <r>
    <n v="108"/>
    <s v="s-6626"/>
    <m/>
    <s v="اوسكار راتن"/>
    <x v="1"/>
    <s v="المخزن ابو الغيط "/>
    <x v="23"/>
    <x v="4"/>
    <x v="0"/>
    <s v="دورين "/>
    <s v="نوفال"/>
    <n v="90"/>
    <x v="1"/>
    <m/>
    <x v="62"/>
    <n v="5294"/>
    <s v="حساب شركه"/>
    <d v="2024-11-14T00:00:00"/>
    <d v="2024-11-27T00:00:00"/>
    <d v="2024-11-25T00:00:00"/>
    <n v="0"/>
    <x v="1"/>
    <n v="11"/>
    <s v="تم التسليم محمود علي"/>
    <x v="0"/>
  </r>
  <r>
    <n v="109"/>
    <n v="265453625"/>
    <m/>
    <s v="رندا العامرى "/>
    <x v="0"/>
    <s v="٦ اكتوبر الجيزه "/>
    <x v="4"/>
    <x v="7"/>
    <x v="0"/>
    <s v="دورين "/>
    <s v="كيفنج "/>
    <n v="80"/>
    <x v="0"/>
    <s v="ابيض"/>
    <x v="31"/>
    <n v="7396"/>
    <s v="مسبق الدفع"/>
    <d v="2024-11-17T00:00:00"/>
    <d v="2024-11-28T00:00:00"/>
    <d v="2024-11-26T00:00:00"/>
    <n v="0"/>
    <x v="1"/>
    <n v="9"/>
    <s v="تم التسليم محمود علي"/>
    <x v="0"/>
  </r>
  <r>
    <n v="110"/>
    <n v="1762617"/>
    <n v="1306879"/>
    <s v="ساره"/>
    <x v="0"/>
    <s v="٦ اكتوبر الجيزه "/>
    <x v="4"/>
    <x v="0"/>
    <x v="0"/>
    <s v="دورين"/>
    <s v="كينج"/>
    <n v="90"/>
    <x v="1"/>
    <m/>
    <x v="57"/>
    <n v="13439"/>
    <n v="13575"/>
    <d v="2024-11-20T00:00:00"/>
    <d v="2024-12-05T00:00:00"/>
    <d v="2024-11-26T00:00:00"/>
    <n v="0"/>
    <x v="1"/>
    <n v="6"/>
    <s v="تم التسليم محمود علي"/>
    <x v="0"/>
  </r>
  <r>
    <n v="112"/>
    <m/>
    <m/>
    <s v="محمد حمدى"/>
    <x v="0"/>
    <s v="مصر الجديده"/>
    <x v="7"/>
    <x v="2"/>
    <x v="0"/>
    <s v="فردى"/>
    <s v="كوين "/>
    <n v="160"/>
    <x v="5"/>
    <s v="ابيض"/>
    <x v="63"/>
    <n v="6000"/>
    <n v="5800"/>
    <d v="2024-11-22T00:00:00"/>
    <d v="2024-12-02T00:00:00"/>
    <d v="2024-11-27T00:00:00"/>
    <n v="0"/>
    <x v="1"/>
    <n v="5"/>
    <s v="تم التسليم محمود علي"/>
    <x v="0"/>
  </r>
  <r>
    <n v="113"/>
    <n v="1765451"/>
    <n v="1308241"/>
    <s v="بافلى هانى "/>
    <x v="0"/>
    <s v="شبرا "/>
    <x v="29"/>
    <x v="0"/>
    <x v="0"/>
    <s v="فردى "/>
    <s v="اسبانى "/>
    <n v="120"/>
    <x v="4"/>
    <m/>
    <x v="64"/>
    <n v="10885"/>
    <n v="7965"/>
    <d v="2024-11-24T00:00:00"/>
    <d v="2024-12-05T00:00:00"/>
    <d v="2024-12-10T00:00:00"/>
    <n v="1"/>
    <x v="2"/>
    <n v="16"/>
    <s v="تم التسليم محمود علي"/>
    <x v="0"/>
  </r>
  <r>
    <n v="114"/>
    <m/>
    <n v="2514"/>
    <s v="تاكى "/>
    <x v="1"/>
    <s v="العباسيه "/>
    <x v="6"/>
    <x v="3"/>
    <x v="2"/>
    <s v="t1"/>
    <s v="t1"/>
    <m/>
    <x v="3"/>
    <m/>
    <x v="65"/>
    <n v="6000"/>
    <n v="6000"/>
    <d v="2024-11-19T00:00:00"/>
    <d v="2024-12-05T00:00:00"/>
    <d v="2024-11-20T00:00:00"/>
    <n v="0"/>
    <x v="1"/>
    <n v="1"/>
    <s v="تم التسليم م محمد "/>
    <x v="0"/>
  </r>
  <r>
    <n v="115"/>
    <n v="1782674"/>
    <n v="1315860"/>
    <s v="رنا ميلاد"/>
    <x v="0"/>
    <s v="جليم الإسكندرية "/>
    <x v="1"/>
    <x v="0"/>
    <x v="1"/>
    <m/>
    <s v="مكتبه"/>
    <m/>
    <x v="3"/>
    <m/>
    <x v="66"/>
    <n v="8449"/>
    <s v="مسبق الدفع"/>
    <d v="2024-11-27T00:00:00"/>
    <d v="2024-12-10T00:00:00"/>
    <d v="2024-12-23T00:00:00"/>
    <n v="1"/>
    <x v="2"/>
    <n v="26"/>
    <s v="تم التسليم عن طريق شركه شحن "/>
    <x v="0"/>
  </r>
  <r>
    <n v="116"/>
    <n v="1781530"/>
    <n v="1315450"/>
    <s v="محمد ناجى"/>
    <x v="0"/>
    <s v="مدينه نصر "/>
    <x v="9"/>
    <x v="0"/>
    <x v="1"/>
    <s v="دوران "/>
    <s v="ميكانزم"/>
    <m/>
    <x v="0"/>
    <s v="ابيض في بنى غامق"/>
    <x v="67"/>
    <n v="10249"/>
    <n v="6211"/>
    <d v="2024-11-27T00:00:00"/>
    <d v="2024-12-10T00:00:00"/>
    <d v="2024-12-19T00:00:00"/>
    <n v="1"/>
    <x v="2"/>
    <n v="22"/>
    <s v="تم التسليم محمود علي"/>
    <x v="0"/>
  </r>
  <r>
    <n v="117"/>
    <n v="1795447"/>
    <n v="1321584"/>
    <s v="احمد عبد الستار"/>
    <x v="0"/>
    <s v="المندره اسكندريه"/>
    <x v="1"/>
    <x v="0"/>
    <x v="0"/>
    <s v="دورين"/>
    <s v="كيفنج"/>
    <n v="100"/>
    <x v="1"/>
    <s v="اسود"/>
    <x v="29"/>
    <n v="14905"/>
    <s v="مسبق الدفع"/>
    <d v="2024-11-29T00:00:00"/>
    <d v="2024-12-15T00:00:00"/>
    <m/>
    <m/>
    <x v="0"/>
    <m/>
    <s v="العميل رفض الاستلام"/>
    <x v="1"/>
  </r>
  <r>
    <n v="118"/>
    <n v="1808440"/>
    <n v="1327172"/>
    <s v="نور "/>
    <x v="0"/>
    <s v="القاهره الجديده"/>
    <x v="10"/>
    <x v="0"/>
    <x v="1"/>
    <s v="دوران "/>
    <s v="ميكانزم"/>
    <m/>
    <x v="1"/>
    <s v="بنى غامق"/>
    <x v="67"/>
    <n v="10249"/>
    <s v="مسبق الدفع"/>
    <d v="2024-11-30T00:00:00"/>
    <d v="2024-12-12T00:00:00"/>
    <m/>
    <m/>
    <x v="0"/>
    <m/>
    <s v="ملغي"/>
    <x v="1"/>
  </r>
  <r>
    <n v="119"/>
    <n v="1808441"/>
    <n v="1327172"/>
    <s v="نور"/>
    <x v="0"/>
    <s v="القاهره الجديده"/>
    <x v="10"/>
    <x v="0"/>
    <x v="1"/>
    <s v="رف سحاب"/>
    <m/>
    <m/>
    <x v="1"/>
    <s v="بنى غامق "/>
    <x v="22"/>
    <n v="9029"/>
    <s v="مسبق الدفع"/>
    <d v="2024-11-30T00:00:00"/>
    <d v="2024-12-12T00:00:00"/>
    <m/>
    <m/>
    <x v="0"/>
    <m/>
    <s v="ملغي"/>
    <x v="1"/>
  </r>
  <r>
    <n v="121"/>
    <n v="1813823"/>
    <n v="1329646"/>
    <s v="هناء اسامه"/>
    <x v="0"/>
    <s v="القطاميه"/>
    <x v="14"/>
    <x v="0"/>
    <x v="0"/>
    <s v="دورين "/>
    <s v="نوفال"/>
    <n v="80"/>
    <x v="0"/>
    <m/>
    <x v="43"/>
    <n v="12099"/>
    <s v="مسبق الدفع"/>
    <d v="2024-12-02T00:00:00"/>
    <d v="2024-12-17T00:00:00"/>
    <m/>
    <m/>
    <x v="0"/>
    <m/>
    <s v="ملغي"/>
    <x v="1"/>
  </r>
  <r>
    <n v="122"/>
    <s v="s_7152"/>
    <m/>
    <s v="اوسكار راتن"/>
    <x v="1"/>
    <s v="المخزن ابو الغيط "/>
    <x v="23"/>
    <x v="4"/>
    <x v="0"/>
    <s v="دورين "/>
    <s v="كيفنج "/>
    <n v="90"/>
    <x v="2"/>
    <s v="ازرق"/>
    <x v="68"/>
    <n v="5217"/>
    <s v="حساب شركه"/>
    <d v="2024-12-01T00:00:00"/>
    <d v="2024-12-14T00:00:00"/>
    <d v="2024-12-10T00:00:00"/>
    <n v="0"/>
    <x v="1"/>
    <n v="9"/>
    <s v="تم التسليم محمود علي"/>
    <x v="0"/>
  </r>
  <r>
    <n v="123"/>
    <n v="1810950"/>
    <n v="1328141"/>
    <s v="محمد عادل "/>
    <x v="0"/>
    <s v="العبور"/>
    <x v="20"/>
    <x v="0"/>
    <x v="0"/>
    <s v="منطبق"/>
    <m/>
    <m/>
    <x v="1"/>
    <s v="اسود"/>
    <x v="69"/>
    <n v="10249"/>
    <n v="6211"/>
    <d v="2024-12-04T00:00:00"/>
    <d v="2024-12-14T00:00:00"/>
    <d v="2024-12-19T00:00:00"/>
    <n v="1"/>
    <x v="2"/>
    <n v="15"/>
    <s v="تم التسليم محمود علي"/>
    <x v="0"/>
  </r>
  <r>
    <n v="124"/>
    <n v="240085463"/>
    <m/>
    <s v="مريم عنان"/>
    <x v="0"/>
    <s v="اب تاون كايرو التجمع "/>
    <x v="24"/>
    <x v="1"/>
    <x v="0"/>
    <s v="دورين"/>
    <s v="كينج"/>
    <m/>
    <x v="1"/>
    <m/>
    <x v="70"/>
    <n v="10445"/>
    <n v="7707"/>
    <d v="2024-12-09T00:00:00"/>
    <d v="2024-12-31T00:00:00"/>
    <d v="2024-12-12T00:00:00"/>
    <n v="0"/>
    <x v="1"/>
    <n v="3"/>
    <s v="تم التسليم محمود علي"/>
    <x v="0"/>
  </r>
  <r>
    <n v="125"/>
    <n v="1818591"/>
    <n v="1332300"/>
    <s v="هبه عطيه "/>
    <x v="0"/>
    <s v="القاهره الجديده"/>
    <x v="10"/>
    <x v="0"/>
    <x v="1"/>
    <s v="دوران"/>
    <s v="ميكانزم"/>
    <m/>
    <x v="1"/>
    <s v="بنى غامق"/>
    <x v="67"/>
    <n v="11199"/>
    <n v="11257"/>
    <d v="2024-12-12T00:00:00"/>
    <d v="2024-12-24T00:00:00"/>
    <d v="2024-12-19T00:00:00"/>
    <n v="0"/>
    <x v="1"/>
    <n v="7"/>
    <s v="تم التسليم محمود علي"/>
    <x v="0"/>
  </r>
  <r>
    <n v="126"/>
    <n v="1818396"/>
    <n v="1332179"/>
    <s v="حمدى ذكرى"/>
    <x v="0"/>
    <s v="٦ اكتوبر الجيزه "/>
    <x v="4"/>
    <x v="0"/>
    <x v="0"/>
    <s v="دورين"/>
    <s v="نوفال"/>
    <n v="80"/>
    <x v="1"/>
    <m/>
    <x v="71"/>
    <n v="13099"/>
    <n v="13231"/>
    <d v="2024-12-12T00:00:00"/>
    <d v="2024-12-28T00:00:00"/>
    <d v="2024-12-29T00:00:00"/>
    <n v="1"/>
    <x v="2"/>
    <n v="17"/>
    <s v="تم التسليم محمود علي"/>
    <x v="0"/>
  </r>
  <r>
    <n v="127"/>
    <n v="240085758"/>
    <m/>
    <s v="شيك هومز"/>
    <x v="1"/>
    <s v="مخزن شيك هومز"/>
    <x v="27"/>
    <x v="1"/>
    <x v="2"/>
    <s v="4*1"/>
    <s v="ارينا"/>
    <m/>
    <x v="1"/>
    <s v="روك ١٠"/>
    <x v="72"/>
    <n v="8700"/>
    <s v="حساب شركه"/>
    <d v="2024-12-14T00:00:00"/>
    <d v="2025-01-05T00:00:00"/>
    <d v="2024-12-29T00:00:00"/>
    <n v="0"/>
    <x v="1"/>
    <n v="15"/>
    <s v="تم التسليم محمود علي"/>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BD9:BE13" firstHeaderRow="1" firstDataRow="1" firstDataCol="1"/>
  <pivotFields count="25">
    <pivotField showAll="0"/>
    <pivotField showAll="0"/>
    <pivotField showAll="0"/>
    <pivotField showAll="0"/>
    <pivotField showAll="0">
      <items count="3">
        <item x="1"/>
        <item x="0"/>
        <item t="default"/>
      </items>
    </pivotField>
    <pivotField showAll="0"/>
    <pivotField showAll="0"/>
    <pivotField showAll="0" defaultSubtotal="0"/>
    <pivotField showAll="0"/>
    <pivotField showAll="0"/>
    <pivotField showAll="0"/>
    <pivotField showAll="0"/>
    <pivotField showAll="0"/>
    <pivotField showAll="0"/>
    <pivotField showAll="0">
      <items count="74">
        <item x="29"/>
        <item x="40"/>
        <item x="39"/>
        <item x="20"/>
        <item x="12"/>
        <item x="19"/>
        <item x="15"/>
        <item x="8"/>
        <item x="14"/>
        <item x="67"/>
        <item x="46"/>
        <item x="22"/>
        <item x="11"/>
        <item x="3"/>
        <item x="66"/>
        <item x="36"/>
        <item x="7"/>
        <item x="30"/>
        <item x="35"/>
        <item x="24"/>
        <item x="38"/>
        <item x="16"/>
        <item x="25"/>
        <item x="64"/>
        <item x="32"/>
        <item x="48"/>
        <item x="6"/>
        <item x="10"/>
        <item x="55"/>
        <item x="45"/>
        <item x="59"/>
        <item x="63"/>
        <item x="26"/>
        <item x="27"/>
        <item x="68"/>
        <item x="41"/>
        <item x="31"/>
        <item x="2"/>
        <item x="33"/>
        <item x="13"/>
        <item x="17"/>
        <item x="70"/>
        <item x="18"/>
        <item x="60"/>
        <item x="57"/>
        <item x="44"/>
        <item x="49"/>
        <item x="23"/>
        <item x="37"/>
        <item x="69"/>
        <item x="1"/>
        <item x="21"/>
        <item x="0"/>
        <item x="28"/>
        <item x="4"/>
        <item x="61"/>
        <item x="42"/>
        <item x="71"/>
        <item x="62"/>
        <item x="43"/>
        <item x="9"/>
        <item x="54"/>
        <item x="53"/>
        <item x="51"/>
        <item x="65"/>
        <item x="34"/>
        <item x="56"/>
        <item x="52"/>
        <item x="72"/>
        <item x="47"/>
        <item x="5"/>
        <item x="50"/>
        <item x="58"/>
        <item t="default"/>
      </items>
    </pivotField>
    <pivotField showAll="0"/>
    <pivotField showAll="0"/>
    <pivotField showAll="0"/>
    <pivotField showAll="0"/>
    <pivotField showAll="0"/>
    <pivotField showAll="0" defaultSubtotal="0"/>
    <pivotField axis="axisRow" dataField="1" showAll="0" defaultSubtotal="0">
      <items count="3">
        <item x="2"/>
        <item x="1"/>
        <item x="0"/>
      </items>
    </pivotField>
    <pivotField showAll="0"/>
    <pivotField showAll="0"/>
    <pivotField showAll="0"/>
  </pivotFields>
  <rowFields count="1">
    <field x="21"/>
  </rowFields>
  <rowItems count="4">
    <i>
      <x/>
    </i>
    <i>
      <x v="1"/>
    </i>
    <i>
      <x v="2"/>
    </i>
    <i t="grand">
      <x/>
    </i>
  </rowItems>
  <colItems count="1">
    <i/>
  </colItems>
  <dataFields count="1">
    <dataField name="Count of حاله التسليم في الموعد" fld="21" subtotal="count" showDataAs="percentOfTotal" baseField="21" baseItem="0" numFmtId="10"/>
  </dataFields>
  <formats count="35">
    <format dxfId="1372">
      <pivotArea outline="0" collapsedLevelsAreSubtotals="1" fieldPosition="0"/>
    </format>
    <format dxfId="1371">
      <pivotArea outline="0" collapsedLevelsAreSubtotals="1" fieldPosition="0"/>
    </format>
    <format dxfId="1370">
      <pivotArea outline="0" collapsedLevelsAreSubtotals="1" fieldPosition="0"/>
    </format>
    <format dxfId="1369">
      <pivotArea outline="0" collapsedLevelsAreSubtotals="1" fieldPosition="0"/>
    </format>
    <format dxfId="1368">
      <pivotArea outline="0" collapsedLevelsAreSubtotals="1" fieldPosition="0"/>
    </format>
    <format dxfId="1367">
      <pivotArea outline="0" collapsedLevelsAreSubtotals="1" fieldPosition="0"/>
    </format>
    <format dxfId="1366">
      <pivotArea outline="0" collapsedLevelsAreSubtotals="1" fieldPosition="0"/>
    </format>
    <format dxfId="1365">
      <pivotArea outline="0" collapsedLevelsAreSubtotals="1" fieldPosition="0"/>
    </format>
    <format dxfId="1364">
      <pivotArea outline="0" collapsedLevelsAreSubtotals="1" fieldPosition="0"/>
    </format>
    <format dxfId="1363">
      <pivotArea outline="0" collapsedLevelsAreSubtotals="1" fieldPosition="0"/>
    </format>
    <format dxfId="1362">
      <pivotArea outline="0" collapsedLevelsAreSubtotals="1" fieldPosition="0"/>
    </format>
    <format dxfId="1361">
      <pivotArea outline="0" collapsedLevelsAreSubtotals="1" fieldPosition="0"/>
    </format>
    <format dxfId="1360">
      <pivotArea outline="0" collapsedLevelsAreSubtotals="1" fieldPosition="0"/>
    </format>
    <format dxfId="1359">
      <pivotArea outline="0" collapsedLevelsAreSubtotals="1" fieldPosition="0"/>
    </format>
    <format dxfId="1358">
      <pivotArea outline="0" collapsedLevelsAreSubtotals="1" fieldPosition="0"/>
    </format>
    <format dxfId="1357">
      <pivotArea outline="0" collapsedLevelsAreSubtotals="1" fieldPosition="0"/>
    </format>
    <format dxfId="1356">
      <pivotArea outline="0" collapsedLevelsAreSubtotals="1" fieldPosition="0"/>
    </format>
    <format dxfId="1355">
      <pivotArea field="14" type="button" dataOnly="0" labelOnly="1" outline="0"/>
    </format>
    <format dxfId="1354">
      <pivotArea outline="0" collapsedLevelsAreSubtotals="1" fieldPosition="0"/>
    </format>
    <format dxfId="1353">
      <pivotArea collapsedLevelsAreSubtotals="1" fieldPosition="0">
        <references count="1">
          <reference field="21" count="1">
            <x v="1"/>
          </reference>
        </references>
      </pivotArea>
    </format>
    <format dxfId="1352">
      <pivotArea collapsedLevelsAreSubtotals="1" fieldPosition="0">
        <references count="1">
          <reference field="21" count="1">
            <x v="1"/>
          </reference>
        </references>
      </pivotArea>
    </format>
    <format dxfId="1351">
      <pivotArea collapsedLevelsAreSubtotals="1" fieldPosition="0">
        <references count="1">
          <reference field="21" count="1">
            <x v="0"/>
          </reference>
        </references>
      </pivotArea>
    </format>
    <format dxfId="1350">
      <pivotArea collapsedLevelsAreSubtotals="1" fieldPosition="0">
        <references count="1">
          <reference field="21" count="1">
            <x v="0"/>
          </reference>
        </references>
      </pivotArea>
    </format>
    <format dxfId="1349">
      <pivotArea collapsedLevelsAreSubtotals="1" fieldPosition="0">
        <references count="1">
          <reference field="21" count="1">
            <x v="0"/>
          </reference>
        </references>
      </pivotArea>
    </format>
    <format dxfId="1348">
      <pivotArea collapsedLevelsAreSubtotals="1" fieldPosition="0">
        <references count="1">
          <reference field="21" count="1">
            <x v="1"/>
          </reference>
        </references>
      </pivotArea>
    </format>
    <format dxfId="1347">
      <pivotArea collapsedLevelsAreSubtotals="1" fieldPosition="0">
        <references count="1">
          <reference field="21" count="1">
            <x v="1"/>
          </reference>
        </references>
      </pivotArea>
    </format>
    <format dxfId="1346">
      <pivotArea grandRow="1" outline="0" collapsedLevelsAreSubtotals="1" fieldPosition="0"/>
    </format>
    <format dxfId="1345">
      <pivotArea grandRow="1" outline="0" collapsedLevelsAreSubtotals="1" fieldPosition="0"/>
    </format>
    <format dxfId="1344">
      <pivotArea grandRow="1" outline="0" collapsedLevelsAreSubtotals="1" fieldPosition="0"/>
    </format>
    <format dxfId="1343">
      <pivotArea collapsedLevelsAreSubtotals="1" fieldPosition="0">
        <references count="1">
          <reference field="21" count="1">
            <x v="0"/>
          </reference>
        </references>
      </pivotArea>
    </format>
    <format dxfId="1342">
      <pivotArea collapsedLevelsAreSubtotals="1" fieldPosition="0">
        <references count="1">
          <reference field="21" count="1">
            <x v="0"/>
          </reference>
        </references>
      </pivotArea>
    </format>
    <format dxfId="1341">
      <pivotArea collapsedLevelsAreSubtotals="1" fieldPosition="0">
        <references count="1">
          <reference field="21" count="1">
            <x v="0"/>
          </reference>
        </references>
      </pivotArea>
    </format>
    <format dxfId="1340">
      <pivotArea collapsedLevelsAreSubtotals="1" fieldPosition="0">
        <references count="1">
          <reference field="21" count="1">
            <x v="0"/>
          </reference>
        </references>
      </pivotArea>
    </format>
    <format dxfId="1339">
      <pivotArea collapsedLevelsAreSubtotals="1" fieldPosition="0">
        <references count="1">
          <reference field="21" count="1">
            <x v="0"/>
          </reference>
        </references>
      </pivotArea>
    </format>
    <format dxfId="1338">
      <pivotArea outline="0" fieldPosition="0">
        <references count="1">
          <reference field="4294967294" count="1">
            <x v="0"/>
          </reference>
        </references>
      </pivotArea>
    </format>
  </formats>
  <chartFormats count="13">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21" count="1" selected="0">
            <x v="0"/>
          </reference>
        </references>
      </pivotArea>
    </chartFormat>
    <chartFormat chart="16" format="3">
      <pivotArea type="data" outline="0" fieldPosition="0">
        <references count="2">
          <reference field="4294967294" count="1" selected="0">
            <x v="0"/>
          </reference>
          <reference field="21" count="1" selected="0">
            <x v="1"/>
          </reference>
        </references>
      </pivotArea>
    </chartFormat>
    <chartFormat chart="15" format="1">
      <pivotArea type="data" outline="0" fieldPosition="0">
        <references count="2">
          <reference field="4294967294" count="1" selected="0">
            <x v="0"/>
          </reference>
          <reference field="21" count="1" selected="0">
            <x v="0"/>
          </reference>
        </references>
      </pivotArea>
    </chartFormat>
    <chartFormat chart="15" format="2">
      <pivotArea type="data" outline="0" fieldPosition="0">
        <references count="2">
          <reference field="4294967294" count="1" selected="0">
            <x v="0"/>
          </reference>
          <reference field="21" count="1" selected="0">
            <x v="1"/>
          </reference>
        </references>
      </pivotArea>
    </chartFormat>
    <chartFormat chart="18" format="18" series="1">
      <pivotArea type="data" outline="0" fieldPosition="0">
        <references count="1">
          <reference field="4294967294" count="1" selected="0">
            <x v="0"/>
          </reference>
        </references>
      </pivotArea>
    </chartFormat>
    <chartFormat chart="19" format="18"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1" count="1" selected="0">
            <x v="2"/>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21" count="1" selected="0">
            <x v="0"/>
          </reference>
        </references>
      </pivotArea>
    </chartFormat>
    <chartFormat chart="21" format="10">
      <pivotArea type="data" outline="0" fieldPosition="0">
        <references count="2">
          <reference field="4294967294" count="1" selected="0">
            <x v="0"/>
          </reference>
          <reference field="21" count="1" selected="0">
            <x v="1"/>
          </reference>
        </references>
      </pivotArea>
    </chartFormat>
    <chartFormat chart="21" format="11">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0:C11" firstHeaderRow="1" firstDataRow="1" firstDataCol="0"/>
  <pivotFields count="25">
    <pivotField showAll="0"/>
    <pivotField showAll="0"/>
    <pivotField showAll="0"/>
    <pivotField showAll="0"/>
    <pivotField showAll="0">
      <items count="3">
        <item x="1"/>
        <item x="0"/>
        <item t="default"/>
      </items>
    </pivotField>
    <pivotField showAll="0"/>
    <pivotField showAll="0"/>
    <pivotField showAll="0" defaultSubtota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3">
        <item x="2"/>
        <item x="1"/>
        <item x="0"/>
      </items>
    </pivotField>
    <pivotField showAll="0"/>
    <pivotField showAll="0"/>
    <pivotField showAll="0"/>
  </pivotFields>
  <rowItems count="1">
    <i/>
  </rowItems>
  <colItems count="1">
    <i/>
  </colItems>
  <dataFields count="1">
    <dataField name="Sum of سعر البيع " fld="15" baseField="0" baseItem="243229384"/>
  </dataFields>
  <formats count="3">
    <format dxfId="1375">
      <pivotArea outline="0" collapsedLevelsAreSubtotals="1" fieldPosition="0"/>
    </format>
    <format dxfId="1374">
      <pivotArea outline="0" collapsedLevelsAreSubtotals="1" fieldPosition="0"/>
    </format>
    <format dxfId="13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U11:AV24" firstHeaderRow="1" firstDataRow="1" firstDataCol="1"/>
  <pivotFields count="25">
    <pivotField showAll="0"/>
    <pivotField showAll="0"/>
    <pivotField showAll="0"/>
    <pivotField showAll="0"/>
    <pivotField showAll="0">
      <items count="3">
        <item x="1"/>
        <item x="0"/>
        <item t="default"/>
      </items>
    </pivotField>
    <pivotField showAll="0"/>
    <pivotField showAll="0"/>
    <pivotField showAll="0" defaultSubtotal="0"/>
    <pivotField showAll="0"/>
    <pivotField showAll="0"/>
    <pivotField showAll="0"/>
    <pivotField showAll="0"/>
    <pivotField axis="axisRow" dataField="1" showAll="0" sortType="descending">
      <items count="16">
        <item x="0"/>
        <item x="2"/>
        <item m="1" x="13"/>
        <item m="1" x="14"/>
        <item x="1"/>
        <item x="7"/>
        <item x="11"/>
        <item x="6"/>
        <item x="9"/>
        <item x="5"/>
        <item x="4"/>
        <item m="1" x="12"/>
        <item x="8"/>
        <item x="10"/>
        <item x="3"/>
        <item t="default"/>
      </items>
      <autoSortScope>
        <pivotArea dataOnly="0" outline="0" fieldPosition="0">
          <references count="1">
            <reference field="4294967294" count="1" selected="0">
              <x v="0"/>
            </reference>
          </references>
        </pivotArea>
      </autoSortScope>
    </pivotField>
    <pivotField showAll="0"/>
    <pivotField showAll="0">
      <items count="74">
        <item x="29"/>
        <item x="40"/>
        <item x="39"/>
        <item x="20"/>
        <item x="12"/>
        <item x="19"/>
        <item x="15"/>
        <item x="8"/>
        <item x="14"/>
        <item x="67"/>
        <item x="46"/>
        <item x="22"/>
        <item x="11"/>
        <item x="3"/>
        <item x="66"/>
        <item x="36"/>
        <item x="7"/>
        <item x="30"/>
        <item x="35"/>
        <item x="24"/>
        <item x="38"/>
        <item x="16"/>
        <item x="25"/>
        <item x="64"/>
        <item x="32"/>
        <item x="48"/>
        <item x="6"/>
        <item x="10"/>
        <item x="55"/>
        <item x="45"/>
        <item x="59"/>
        <item x="63"/>
        <item x="26"/>
        <item x="27"/>
        <item x="68"/>
        <item x="41"/>
        <item x="31"/>
        <item x="2"/>
        <item x="33"/>
        <item x="13"/>
        <item x="17"/>
        <item x="70"/>
        <item x="18"/>
        <item x="60"/>
        <item x="57"/>
        <item x="44"/>
        <item x="49"/>
        <item x="23"/>
        <item x="37"/>
        <item x="69"/>
        <item x="1"/>
        <item x="21"/>
        <item x="0"/>
        <item x="28"/>
        <item x="4"/>
        <item x="61"/>
        <item x="42"/>
        <item x="71"/>
        <item x="62"/>
        <item x="43"/>
        <item x="9"/>
        <item x="54"/>
        <item x="53"/>
        <item x="51"/>
        <item x="65"/>
        <item x="34"/>
        <item x="56"/>
        <item x="52"/>
        <item x="72"/>
        <item x="47"/>
        <item x="5"/>
        <item x="50"/>
        <item x="58"/>
        <item t="default"/>
      </items>
    </pivotField>
    <pivotField showAll="0"/>
    <pivotField showAll="0"/>
    <pivotField showAll="0"/>
    <pivotField showAll="0"/>
    <pivotField showAll="0"/>
    <pivotField showAll="0" defaultSubtotal="0"/>
    <pivotField showAll="0" defaultSubtotal="0">
      <items count="3">
        <item x="2"/>
        <item x="1"/>
        <item x="0"/>
      </items>
    </pivotField>
    <pivotField showAll="0"/>
    <pivotField showAll="0"/>
    <pivotField showAll="0"/>
  </pivotFields>
  <rowFields count="1">
    <field x="12"/>
  </rowFields>
  <rowItems count="13">
    <i>
      <x v="4"/>
    </i>
    <i>
      <x/>
    </i>
    <i>
      <x v="10"/>
    </i>
    <i>
      <x v="1"/>
    </i>
    <i>
      <x v="8"/>
    </i>
    <i>
      <x v="9"/>
    </i>
    <i>
      <x v="6"/>
    </i>
    <i>
      <x v="5"/>
    </i>
    <i>
      <x v="7"/>
    </i>
    <i>
      <x v="12"/>
    </i>
    <i>
      <x v="13"/>
    </i>
    <i>
      <x v="14"/>
    </i>
    <i t="grand">
      <x/>
    </i>
  </rowItems>
  <colItems count="1">
    <i/>
  </colItems>
  <dataFields count="1">
    <dataField name="Count of اللون المعدن" fld="12" subtotal="count" baseField="0" baseItem="0"/>
  </dataFields>
  <formats count="21">
    <format dxfId="1396">
      <pivotArea outline="0" collapsedLevelsAreSubtotals="1" fieldPosition="0"/>
    </format>
    <format dxfId="1395">
      <pivotArea outline="0" collapsedLevelsAreSubtotals="1" fieldPosition="0"/>
    </format>
    <format dxfId="1394">
      <pivotArea outline="0" collapsedLevelsAreSubtotals="1" fieldPosition="0"/>
    </format>
    <format dxfId="1393">
      <pivotArea outline="0" collapsedLevelsAreSubtotals="1" fieldPosition="0"/>
    </format>
    <format dxfId="1392">
      <pivotArea outline="0" collapsedLevelsAreSubtotals="1" fieldPosition="0"/>
    </format>
    <format dxfId="1391">
      <pivotArea outline="0" collapsedLevelsAreSubtotals="1" fieldPosition="0"/>
    </format>
    <format dxfId="1390">
      <pivotArea outline="0" collapsedLevelsAreSubtotals="1" fieldPosition="0"/>
    </format>
    <format dxfId="1389">
      <pivotArea outline="0" collapsedLevelsAreSubtotals="1" fieldPosition="0"/>
    </format>
    <format dxfId="1388">
      <pivotArea outline="0" collapsedLevelsAreSubtotals="1" fieldPosition="0"/>
    </format>
    <format dxfId="1387">
      <pivotArea outline="0" collapsedLevelsAreSubtotals="1" fieldPosition="0"/>
    </format>
    <format dxfId="1386">
      <pivotArea outline="0" collapsedLevelsAreSubtotals="1" fieldPosition="0"/>
    </format>
    <format dxfId="1385">
      <pivotArea outline="0" collapsedLevelsAreSubtotals="1" fieldPosition="0"/>
    </format>
    <format dxfId="1384">
      <pivotArea outline="0" collapsedLevelsAreSubtotals="1" fieldPosition="0"/>
    </format>
    <format dxfId="1383">
      <pivotArea outline="0" collapsedLevelsAreSubtotals="1" fieldPosition="0"/>
    </format>
    <format dxfId="1382">
      <pivotArea outline="0" collapsedLevelsAreSubtotals="1" fieldPosition="0"/>
    </format>
    <format dxfId="1381">
      <pivotArea outline="0" collapsedLevelsAreSubtotals="1" fieldPosition="0"/>
    </format>
    <format dxfId="1380">
      <pivotArea outline="0" collapsedLevelsAreSubtotals="1" fieldPosition="0"/>
    </format>
    <format dxfId="1379">
      <pivotArea field="14" type="button" dataOnly="0" labelOnly="1" outline="0"/>
    </format>
    <format dxfId="1378">
      <pivotArea collapsedLevelsAreSubtotals="1" fieldPosition="0">
        <references count="1">
          <reference field="12" count="0"/>
        </references>
      </pivotArea>
    </format>
    <format dxfId="1377">
      <pivotArea collapsedLevelsAreSubtotals="1" fieldPosition="0">
        <references count="1">
          <reference field="12" count="0"/>
        </references>
      </pivotArea>
    </format>
    <format dxfId="1376">
      <pivotArea collapsedLevelsAreSubtotals="1" fieldPosition="0">
        <references count="1">
          <reference field="12" count="0"/>
        </references>
      </pivotArea>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R9:R10" firstHeaderRow="1" firstDataRow="1" firstDataCol="0"/>
  <pivotFields count="25">
    <pivotField showAll="0"/>
    <pivotField showAll="0"/>
    <pivotField showAll="0"/>
    <pivotField showAll="0"/>
    <pivotField showAll="0">
      <items count="3">
        <item x="1"/>
        <item x="0"/>
        <item t="default"/>
      </items>
    </pivotField>
    <pivotField showAll="0"/>
    <pivotField showAll="0"/>
    <pivotField showAll="0" defaultSubtota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3">
        <item x="2"/>
        <item x="1"/>
        <item x="0"/>
      </items>
    </pivotField>
    <pivotField showAll="0"/>
    <pivotField showAll="0"/>
    <pivotField showAll="0"/>
  </pivotFields>
  <rowItems count="1">
    <i/>
  </rowItems>
  <colItems count="1">
    <i/>
  </colItems>
  <dataFields count="1">
    <dataField name="Average of سعر البيع " fld="15" subtotal="average" baseField="0" baseItem="555218680"/>
  </dataFields>
  <formats count="17">
    <format dxfId="1413">
      <pivotArea outline="0" collapsedLevelsAreSubtotals="1" fieldPosition="0"/>
    </format>
    <format dxfId="1412">
      <pivotArea outline="0" collapsedLevelsAreSubtotals="1" fieldPosition="0"/>
    </format>
    <format dxfId="1411">
      <pivotArea outline="0" collapsedLevelsAreSubtotals="1" fieldPosition="0"/>
    </format>
    <format dxfId="1410">
      <pivotArea outline="0" collapsedLevelsAreSubtotals="1" fieldPosition="0"/>
    </format>
    <format dxfId="1409">
      <pivotArea outline="0" collapsedLevelsAreSubtotals="1" fieldPosition="0"/>
    </format>
    <format dxfId="1408">
      <pivotArea outline="0" collapsedLevelsAreSubtotals="1" fieldPosition="0"/>
    </format>
    <format dxfId="1407">
      <pivotArea outline="0" collapsedLevelsAreSubtotals="1" fieldPosition="0"/>
    </format>
    <format dxfId="1406">
      <pivotArea outline="0" collapsedLevelsAreSubtotals="1" fieldPosition="0"/>
    </format>
    <format dxfId="1405">
      <pivotArea outline="0" collapsedLevelsAreSubtotals="1" fieldPosition="0"/>
    </format>
    <format dxfId="1404">
      <pivotArea outline="0" collapsedLevelsAreSubtotals="1" fieldPosition="0"/>
    </format>
    <format dxfId="1403">
      <pivotArea outline="0" collapsedLevelsAreSubtotals="1" fieldPosition="0"/>
    </format>
    <format dxfId="1402">
      <pivotArea outline="0" collapsedLevelsAreSubtotals="1" fieldPosition="0"/>
    </format>
    <format dxfId="1401">
      <pivotArea outline="0" collapsedLevelsAreSubtotals="1" fieldPosition="0"/>
    </format>
    <format dxfId="1400">
      <pivotArea outline="0" collapsedLevelsAreSubtotals="1" fieldPosition="0"/>
    </format>
    <format dxfId="1399">
      <pivotArea outline="0" collapsedLevelsAreSubtotals="1" fieldPosition="0"/>
    </format>
    <format dxfId="1398">
      <pivotArea outline="0" collapsedLevelsAreSubtotals="1" fieldPosition="0"/>
    </format>
    <format dxfId="13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2" rowHeaderCaption="المنطقه">
  <location ref="CQ5:CR16" firstHeaderRow="1" firstDataRow="1" firstDataCol="1"/>
  <pivotFields count="25">
    <pivotField showAll="0"/>
    <pivotField showAll="0"/>
    <pivotField showAll="0"/>
    <pivotField dataField="1" showAll="0"/>
    <pivotField showAll="0">
      <items count="3">
        <item x="1"/>
        <item x="0"/>
        <item t="default"/>
      </items>
    </pivotField>
    <pivotField showAll="0"/>
    <pivotField axis="axisRow" showAll="0" measureFilter="1" sortType="descending">
      <items count="32">
        <item x="0"/>
        <item x="2"/>
        <item x="4"/>
        <item x="22"/>
        <item x="21"/>
        <item x="1"/>
        <item x="24"/>
        <item x="5"/>
        <item x="19"/>
        <item x="26"/>
        <item x="25"/>
        <item x="15"/>
        <item x="18"/>
        <item x="6"/>
        <item x="20"/>
        <item x="13"/>
        <item x="3"/>
        <item x="8"/>
        <item x="10"/>
        <item x="14"/>
        <item x="12"/>
        <item x="23"/>
        <item x="11"/>
        <item x="17"/>
        <item x="16"/>
        <item x="29"/>
        <item x="27"/>
        <item x="28"/>
        <item x="9"/>
        <item x="7"/>
        <item m="1" x="30"/>
        <item t="default"/>
      </items>
      <autoSortScope>
        <pivotArea dataOnly="0" outline="0" fieldPosition="0">
          <references count="1">
            <reference field="4294967294" count="1" selected="0">
              <x v="0"/>
            </reference>
          </references>
        </pivotArea>
      </autoSortScope>
    </pivotField>
    <pivotField showAll="0" defaultSubtotal="0"/>
    <pivotField showAll="0"/>
    <pivotField showAll="0"/>
    <pivotField showAll="0"/>
    <pivotField showAll="0"/>
    <pivotField showAll="0"/>
    <pivotField showAll="0"/>
    <pivotField showAll="0">
      <items count="74">
        <item x="29"/>
        <item x="40"/>
        <item x="39"/>
        <item x="20"/>
        <item x="12"/>
        <item x="19"/>
        <item x="15"/>
        <item x="8"/>
        <item x="14"/>
        <item x="67"/>
        <item x="46"/>
        <item x="22"/>
        <item x="11"/>
        <item x="3"/>
        <item x="66"/>
        <item x="36"/>
        <item x="7"/>
        <item x="30"/>
        <item x="35"/>
        <item x="24"/>
        <item x="38"/>
        <item x="16"/>
        <item x="25"/>
        <item x="64"/>
        <item x="32"/>
        <item x="48"/>
        <item x="6"/>
        <item x="10"/>
        <item x="55"/>
        <item x="45"/>
        <item x="59"/>
        <item x="63"/>
        <item x="26"/>
        <item x="27"/>
        <item x="68"/>
        <item x="41"/>
        <item x="31"/>
        <item x="2"/>
        <item x="33"/>
        <item x="13"/>
        <item x="17"/>
        <item x="70"/>
        <item x="18"/>
        <item x="60"/>
        <item x="57"/>
        <item x="44"/>
        <item x="49"/>
        <item x="23"/>
        <item x="37"/>
        <item x="69"/>
        <item x="1"/>
        <item x="21"/>
        <item x="0"/>
        <item x="28"/>
        <item x="4"/>
        <item x="61"/>
        <item x="42"/>
        <item x="71"/>
        <item x="62"/>
        <item x="43"/>
        <item x="9"/>
        <item x="54"/>
        <item x="53"/>
        <item x="51"/>
        <item x="65"/>
        <item x="34"/>
        <item x="56"/>
        <item x="52"/>
        <item x="72"/>
        <item x="47"/>
        <item x="5"/>
        <item x="50"/>
        <item x="58"/>
        <item t="default"/>
      </items>
    </pivotField>
    <pivotField showAll="0"/>
    <pivotField showAll="0"/>
    <pivotField showAll="0"/>
    <pivotField showAll="0"/>
    <pivotField showAll="0"/>
    <pivotField showAll="0" defaultSubtotal="0"/>
    <pivotField showAll="0" defaultSubtotal="0">
      <items count="3">
        <item x="2"/>
        <item x="1"/>
        <item x="0"/>
      </items>
    </pivotField>
    <pivotField showAll="0"/>
    <pivotField showAll="0"/>
    <pivotField showAll="0">
      <items count="4">
        <item x="0"/>
        <item m="1" x="2"/>
        <item x="1"/>
        <item t="default"/>
      </items>
    </pivotField>
  </pivotFields>
  <rowFields count="1">
    <field x="6"/>
  </rowFields>
  <rowItems count="11">
    <i>
      <x v="2"/>
    </i>
    <i>
      <x v="18"/>
    </i>
    <i>
      <x v="13"/>
    </i>
    <i>
      <x v="22"/>
    </i>
    <i>
      <x v="21"/>
    </i>
    <i>
      <x v="5"/>
    </i>
    <i>
      <x v="7"/>
    </i>
    <i>
      <x v="20"/>
    </i>
    <i>
      <x v="10"/>
    </i>
    <i>
      <x v="11"/>
    </i>
    <i t="grand">
      <x/>
    </i>
  </rowItems>
  <colItems count="1">
    <i/>
  </colItems>
  <dataFields count="1">
    <dataField name="Count of أسم العميل" fld="3" subtotal="count" baseField="6" baseItem="2"/>
  </dataFields>
  <formats count="26">
    <format dxfId="1439">
      <pivotArea outline="0" collapsedLevelsAreSubtotals="1" fieldPosition="0"/>
    </format>
    <format dxfId="1438">
      <pivotArea outline="0" collapsedLevelsAreSubtotals="1" fieldPosition="0"/>
    </format>
    <format dxfId="1437">
      <pivotArea outline="0" collapsedLevelsAreSubtotals="1" fieldPosition="0"/>
    </format>
    <format dxfId="1436">
      <pivotArea outline="0" collapsedLevelsAreSubtotals="1" fieldPosition="0"/>
    </format>
    <format dxfId="1435">
      <pivotArea outline="0" collapsedLevelsAreSubtotals="1" fieldPosition="0"/>
    </format>
    <format dxfId="1434">
      <pivotArea outline="0" collapsedLevelsAreSubtotals="1" fieldPosition="0"/>
    </format>
    <format dxfId="1433">
      <pivotArea outline="0" collapsedLevelsAreSubtotals="1" fieldPosition="0"/>
    </format>
    <format dxfId="1432">
      <pivotArea outline="0" collapsedLevelsAreSubtotals="1" fieldPosition="0"/>
    </format>
    <format dxfId="1431">
      <pivotArea outline="0" collapsedLevelsAreSubtotals="1" fieldPosition="0"/>
    </format>
    <format dxfId="1430">
      <pivotArea outline="0" collapsedLevelsAreSubtotals="1" fieldPosition="0"/>
    </format>
    <format dxfId="1429">
      <pivotArea outline="0" collapsedLevelsAreSubtotals="1" fieldPosition="0"/>
    </format>
    <format dxfId="1428">
      <pivotArea outline="0" collapsedLevelsAreSubtotals="1" fieldPosition="0"/>
    </format>
    <format dxfId="1427">
      <pivotArea outline="0" collapsedLevelsAreSubtotals="1" fieldPosition="0"/>
    </format>
    <format dxfId="1426">
      <pivotArea outline="0" collapsedLevelsAreSubtotals="1" fieldPosition="0"/>
    </format>
    <format dxfId="1425">
      <pivotArea outline="0" collapsedLevelsAreSubtotals="1" fieldPosition="0"/>
    </format>
    <format dxfId="1424">
      <pivotArea outline="0" collapsedLevelsAreSubtotals="1" fieldPosition="0"/>
    </format>
    <format dxfId="1423">
      <pivotArea outline="0" collapsedLevelsAreSubtotals="1" fieldPosition="0"/>
    </format>
    <format dxfId="1422">
      <pivotArea field="14" type="button" dataOnly="0" labelOnly="1" outline="0"/>
    </format>
    <format dxfId="1421">
      <pivotArea outline="0" collapsedLevelsAreSubtotals="1" fieldPosition="0"/>
    </format>
    <format dxfId="1420">
      <pivotArea grandRow="1" outline="0" collapsedLevelsAreSubtotals="1" fieldPosition="0"/>
    </format>
    <format dxfId="1419">
      <pivotArea grandRow="1" outline="0" collapsedLevelsAreSubtotals="1" fieldPosition="0"/>
    </format>
    <format dxfId="1418">
      <pivotArea grandRow="1" outline="0" collapsedLevelsAreSubtotals="1" fieldPosition="0"/>
    </format>
    <format dxfId="1417">
      <pivotArea field="24" type="button" dataOnly="0" labelOnly="1" outline="0"/>
    </format>
    <format dxfId="1416">
      <pivotArea collapsedLevelsAreSubtotals="1" fieldPosition="0">
        <references count="1">
          <reference field="6" count="0"/>
        </references>
      </pivotArea>
    </format>
    <format dxfId="1415">
      <pivotArea collapsedLevelsAreSubtotals="1" fieldPosition="0">
        <references count="1">
          <reference field="6" count="0"/>
        </references>
      </pivotArea>
    </format>
    <format dxfId="1414">
      <pivotArea collapsedLevelsAreSubtotals="1" fieldPosition="0">
        <references count="1">
          <reference field="6" count="0"/>
        </references>
      </pivotArea>
    </format>
  </formats>
  <chartFormats count="9">
    <chartFormat chart="21"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6" count="1" selected="0">
            <x v="13"/>
          </reference>
        </references>
      </pivotArea>
    </chartFormat>
    <chartFormat chart="27" format="4">
      <pivotArea type="data" outline="0" fieldPosition="0">
        <references count="2">
          <reference field="4294967294" count="1" selected="0">
            <x v="0"/>
          </reference>
          <reference field="6" count="1" selected="0">
            <x v="18"/>
          </reference>
        </references>
      </pivotArea>
    </chartFormat>
    <chartFormat chart="27" format="5">
      <pivotArea type="data" outline="0" fieldPosition="0">
        <references count="2">
          <reference field="4294967294" count="1" selected="0">
            <x v="0"/>
          </reference>
          <reference field="6" count="1" selected="0">
            <x v="30"/>
          </reference>
        </references>
      </pivotArea>
    </chartFormat>
    <chartFormat chart="27" format="6">
      <pivotArea type="data" outline="0" fieldPosition="0">
        <references count="2">
          <reference field="4294967294" count="1" selected="0">
            <x v="0"/>
          </reference>
          <reference field="6" count="1" selected="0">
            <x v="22"/>
          </reference>
        </references>
      </pivotArea>
    </chartFormat>
    <chartFormat chart="27" format="7">
      <pivotArea type="data" outline="0" fieldPosition="0">
        <references count="2">
          <reference field="4294967294" count="1" selected="0">
            <x v="0"/>
          </reference>
          <reference field="6" count="1" selected="0">
            <x v="21"/>
          </reference>
        </references>
      </pivotArea>
    </chartFormat>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AC10:AD19" firstHeaderRow="1" firstDataRow="1" firstDataCol="1"/>
  <pivotFields count="25">
    <pivotField showAll="0"/>
    <pivotField showAll="0"/>
    <pivotField showAll="0"/>
    <pivotField showAll="0"/>
    <pivotField showAll="0">
      <items count="3">
        <item x="1"/>
        <item x="0"/>
        <item t="default"/>
      </items>
    </pivotField>
    <pivotField showAll="0"/>
    <pivotField showAll="0"/>
    <pivotField axis="axisRow" dataField="1" showAll="0" sortType="descending" defaultSubtotal="0">
      <items count="10">
        <item x="5"/>
        <item x="4"/>
        <item x="3"/>
        <item m="1" x="9"/>
        <item x="1"/>
        <item x="2"/>
        <item x="7"/>
        <item m="1" x="8"/>
        <item x="6"/>
        <item x="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3">
        <item x="2"/>
        <item x="1"/>
        <item x="0"/>
      </items>
    </pivotField>
    <pivotField showAll="0"/>
    <pivotField showAll="0"/>
    <pivotField showAll="0"/>
  </pivotFields>
  <rowFields count="1">
    <field x="7"/>
  </rowFields>
  <rowItems count="9">
    <i>
      <x v="9"/>
    </i>
    <i>
      <x v="4"/>
    </i>
    <i>
      <x v="1"/>
    </i>
    <i>
      <x v="2"/>
    </i>
    <i>
      <x/>
    </i>
    <i>
      <x v="5"/>
    </i>
    <i>
      <x v="8"/>
    </i>
    <i>
      <x v="6"/>
    </i>
    <i t="grand">
      <x/>
    </i>
  </rowItems>
  <colItems count="1">
    <i/>
  </colItems>
  <dataFields count="1">
    <dataField name="Count of المنصه" fld="7" subtotal="count" baseField="0" baseItem="0"/>
  </dataFields>
  <formats count="41">
    <format dxfId="1480">
      <pivotArea outline="0" collapsedLevelsAreSubtotals="1" fieldPosition="0"/>
    </format>
    <format dxfId="1479">
      <pivotArea outline="0" collapsedLevelsAreSubtotals="1" fieldPosition="0"/>
    </format>
    <format dxfId="1478">
      <pivotArea outline="0" collapsedLevelsAreSubtotals="1" fieldPosition="0"/>
    </format>
    <format dxfId="1477">
      <pivotArea outline="0" collapsedLevelsAreSubtotals="1" fieldPosition="0"/>
    </format>
    <format dxfId="1476">
      <pivotArea outline="0" collapsedLevelsAreSubtotals="1" fieldPosition="0"/>
    </format>
    <format dxfId="1475">
      <pivotArea outline="0" collapsedLevelsAreSubtotals="1" fieldPosition="0"/>
    </format>
    <format dxfId="1474">
      <pivotArea outline="0" collapsedLevelsAreSubtotals="1" fieldPosition="0"/>
    </format>
    <format dxfId="1473">
      <pivotArea outline="0" collapsedLevelsAreSubtotals="1" fieldPosition="0"/>
    </format>
    <format dxfId="1472">
      <pivotArea outline="0" collapsedLevelsAreSubtotals="1" fieldPosition="0"/>
    </format>
    <format dxfId="1471">
      <pivotArea outline="0" collapsedLevelsAreSubtotals="1" fieldPosition="0"/>
    </format>
    <format dxfId="1470">
      <pivotArea outline="0" collapsedLevelsAreSubtotals="1" fieldPosition="0"/>
    </format>
    <format dxfId="1469">
      <pivotArea outline="0" collapsedLevelsAreSubtotals="1" fieldPosition="0"/>
    </format>
    <format dxfId="1468">
      <pivotArea outline="0" collapsedLevelsAreSubtotals="1" fieldPosition="0"/>
    </format>
    <format dxfId="1467">
      <pivotArea outline="0" collapsedLevelsAreSubtotals="1" fieldPosition="0"/>
    </format>
    <format dxfId="1466">
      <pivotArea outline="0" collapsedLevelsAreSubtotals="1" fieldPosition="0"/>
    </format>
    <format dxfId="1465">
      <pivotArea outline="0" collapsedLevelsAreSubtotals="1" fieldPosition="0"/>
    </format>
    <format dxfId="1464">
      <pivotArea outline="0" collapsedLevelsAreSubtotals="1" fieldPosition="0"/>
    </format>
    <format dxfId="1463">
      <pivotArea collapsedLevelsAreSubtotals="1" fieldPosition="0">
        <references count="1">
          <reference field="7" count="1">
            <x v="1"/>
          </reference>
        </references>
      </pivotArea>
    </format>
    <format dxfId="1462">
      <pivotArea collapsedLevelsAreSubtotals="1" fieldPosition="0">
        <references count="1">
          <reference field="7" count="1">
            <x v="1"/>
          </reference>
        </references>
      </pivotArea>
    </format>
    <format dxfId="1461">
      <pivotArea collapsedLevelsAreSubtotals="1" fieldPosition="0">
        <references count="1">
          <reference field="7" count="1">
            <x v="1"/>
          </reference>
        </references>
      </pivotArea>
    </format>
    <format dxfId="1460">
      <pivotArea collapsedLevelsAreSubtotals="1" fieldPosition="0">
        <references count="1">
          <reference field="7" count="1">
            <x v="1"/>
          </reference>
        </references>
      </pivotArea>
    </format>
    <format dxfId="1459">
      <pivotArea collapsedLevelsAreSubtotals="1" fieldPosition="0">
        <references count="1">
          <reference field="7" count="1">
            <x v="2"/>
          </reference>
        </references>
      </pivotArea>
    </format>
    <format dxfId="1458">
      <pivotArea collapsedLevelsAreSubtotals="1" fieldPosition="0">
        <references count="1">
          <reference field="7" count="1">
            <x v="2"/>
          </reference>
        </references>
      </pivotArea>
    </format>
    <format dxfId="1457">
      <pivotArea collapsedLevelsAreSubtotals="1" fieldPosition="0">
        <references count="1">
          <reference field="7" count="1">
            <x v="3"/>
          </reference>
        </references>
      </pivotArea>
    </format>
    <format dxfId="1456">
      <pivotArea collapsedLevelsAreSubtotals="1" fieldPosition="0">
        <references count="1">
          <reference field="7" count="1">
            <x v="3"/>
          </reference>
        </references>
      </pivotArea>
    </format>
    <format dxfId="1455">
      <pivotArea collapsedLevelsAreSubtotals="1" fieldPosition="0">
        <references count="1">
          <reference field="7" count="1">
            <x v="4"/>
          </reference>
        </references>
      </pivotArea>
    </format>
    <format dxfId="1454">
      <pivotArea collapsedLevelsAreSubtotals="1" fieldPosition="0">
        <references count="1">
          <reference field="7" count="1">
            <x v="4"/>
          </reference>
        </references>
      </pivotArea>
    </format>
    <format dxfId="1453">
      <pivotArea collapsedLevelsAreSubtotals="1" fieldPosition="0">
        <references count="1">
          <reference field="7" count="1">
            <x v="5"/>
          </reference>
        </references>
      </pivotArea>
    </format>
    <format dxfId="1452">
      <pivotArea collapsedLevelsAreSubtotals="1" fieldPosition="0">
        <references count="1">
          <reference field="7" count="1">
            <x v="5"/>
          </reference>
        </references>
      </pivotArea>
    </format>
    <format dxfId="1451">
      <pivotArea collapsedLevelsAreSubtotals="1" fieldPosition="0">
        <references count="1">
          <reference field="7" count="1">
            <x v="7"/>
          </reference>
        </references>
      </pivotArea>
    </format>
    <format dxfId="1450">
      <pivotArea collapsedLevelsAreSubtotals="1" fieldPosition="0">
        <references count="1">
          <reference field="7" count="1">
            <x v="7"/>
          </reference>
        </references>
      </pivotArea>
    </format>
    <format dxfId="1449">
      <pivotArea collapsedLevelsAreSubtotals="1" fieldPosition="0">
        <references count="1">
          <reference field="7" count="1">
            <x v="8"/>
          </reference>
        </references>
      </pivotArea>
    </format>
    <format dxfId="1448">
      <pivotArea collapsedLevelsAreSubtotals="1" fieldPosition="0">
        <references count="1">
          <reference field="7" count="1">
            <x v="8"/>
          </reference>
        </references>
      </pivotArea>
    </format>
    <format dxfId="1447">
      <pivotArea collapsedLevelsAreSubtotals="1" fieldPosition="0">
        <references count="1">
          <reference field="7" count="1">
            <x v="9"/>
          </reference>
        </references>
      </pivotArea>
    </format>
    <format dxfId="1446">
      <pivotArea collapsedLevelsAreSubtotals="1" fieldPosition="0">
        <references count="1">
          <reference field="7" count="1">
            <x v="9"/>
          </reference>
        </references>
      </pivotArea>
    </format>
    <format dxfId="1445">
      <pivotArea collapsedLevelsAreSubtotals="1" fieldPosition="0">
        <references count="1">
          <reference field="7" count="1">
            <x v="0"/>
          </reference>
        </references>
      </pivotArea>
    </format>
    <format dxfId="1444">
      <pivotArea collapsedLevelsAreSubtotals="1" fieldPosition="0">
        <references count="1">
          <reference field="7" count="1">
            <x v="0"/>
          </reference>
        </references>
      </pivotArea>
    </format>
    <format dxfId="1443">
      <pivotArea collapsedLevelsAreSubtotals="1" fieldPosition="0">
        <references count="1">
          <reference field="7" count="1">
            <x v="0"/>
          </reference>
        </references>
      </pivotArea>
    </format>
    <format dxfId="1442">
      <pivotArea collapsedLevelsAreSubtotals="1" fieldPosition="0">
        <references count="1">
          <reference field="7" count="1">
            <x v="6"/>
          </reference>
        </references>
      </pivotArea>
    </format>
    <format dxfId="1441">
      <pivotArea collapsedLevelsAreSubtotals="1" fieldPosition="0">
        <references count="1">
          <reference field="7" count="1">
            <x v="6"/>
          </reference>
        </references>
      </pivotArea>
    </format>
    <format dxfId="1440">
      <pivotArea collapsedLevelsAreSubtotals="1" fieldPosition="0">
        <references count="1">
          <reference field="7" count="1">
            <x v="6"/>
          </reference>
        </references>
      </pivotArea>
    </format>
  </formats>
  <chartFormats count="2">
    <chartFormat chart="22"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0:L11" firstHeaderRow="1" firstDataRow="1" firstDataCol="0"/>
  <pivotFields count="25">
    <pivotField showAll="0"/>
    <pivotField showAll="0"/>
    <pivotField showAll="0"/>
    <pivotField dataField="1" showAll="0"/>
    <pivotField showAll="0">
      <items count="3">
        <item x="1"/>
        <item x="0"/>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3">
        <item x="2"/>
        <item x="1"/>
        <item x="0"/>
      </items>
    </pivotField>
    <pivotField showAll="0"/>
    <pivotField showAll="0"/>
    <pivotField showAll="0"/>
  </pivotFields>
  <rowItems count="1">
    <i/>
  </rowItems>
  <colItems count="1">
    <i/>
  </colItems>
  <dataFields count="1">
    <dataField name="Count of أسم العميل" fld="3" subtotal="count" baseField="0" baseItem="4684216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rowHeaderCaption="الحالة">
  <location ref="BO12:BP15" firstHeaderRow="1" firstDataRow="1" firstDataCol="1"/>
  <pivotFields count="25">
    <pivotField showAll="0"/>
    <pivotField showAll="0"/>
    <pivotField showAll="0"/>
    <pivotField showAll="0"/>
    <pivotField showAll="0">
      <items count="3">
        <item x="1"/>
        <item x="0"/>
        <item t="default"/>
      </items>
    </pivotField>
    <pivotField showAll="0"/>
    <pivotField showAll="0"/>
    <pivotField showAll="0" defaultSubtotal="0"/>
    <pivotField showAll="0"/>
    <pivotField showAll="0"/>
    <pivotField showAll="0"/>
    <pivotField showAll="0"/>
    <pivotField showAll="0"/>
    <pivotField showAll="0"/>
    <pivotField showAll="0">
      <items count="74">
        <item x="29"/>
        <item x="40"/>
        <item x="39"/>
        <item x="20"/>
        <item x="12"/>
        <item x="19"/>
        <item x="15"/>
        <item x="8"/>
        <item x="14"/>
        <item x="67"/>
        <item x="46"/>
        <item x="22"/>
        <item x="11"/>
        <item x="3"/>
        <item x="66"/>
        <item x="36"/>
        <item x="7"/>
        <item x="30"/>
        <item x="35"/>
        <item x="24"/>
        <item x="38"/>
        <item x="16"/>
        <item x="25"/>
        <item x="64"/>
        <item x="32"/>
        <item x="48"/>
        <item x="6"/>
        <item x="10"/>
        <item x="55"/>
        <item x="45"/>
        <item x="59"/>
        <item x="63"/>
        <item x="26"/>
        <item x="27"/>
        <item x="68"/>
        <item x="41"/>
        <item x="31"/>
        <item x="2"/>
        <item x="33"/>
        <item x="13"/>
        <item x="17"/>
        <item x="70"/>
        <item x="18"/>
        <item x="60"/>
        <item x="57"/>
        <item x="44"/>
        <item x="49"/>
        <item x="23"/>
        <item x="37"/>
        <item x="69"/>
        <item x="1"/>
        <item x="21"/>
        <item x="0"/>
        <item x="28"/>
        <item x="4"/>
        <item x="61"/>
        <item x="42"/>
        <item x="71"/>
        <item x="62"/>
        <item x="43"/>
        <item x="9"/>
        <item x="54"/>
        <item x="53"/>
        <item x="51"/>
        <item x="65"/>
        <item x="34"/>
        <item x="56"/>
        <item x="52"/>
        <item x="72"/>
        <item x="47"/>
        <item x="5"/>
        <item x="50"/>
        <item x="58"/>
        <item t="default"/>
      </items>
    </pivotField>
    <pivotField showAll="0"/>
    <pivotField showAll="0"/>
    <pivotField showAll="0"/>
    <pivotField showAll="0"/>
    <pivotField showAll="0"/>
    <pivotField showAll="0" defaultSubtotal="0"/>
    <pivotField showAll="0" defaultSubtotal="0">
      <items count="3">
        <item x="2"/>
        <item x="1"/>
        <item x="0"/>
      </items>
    </pivotField>
    <pivotField showAll="0"/>
    <pivotField showAll="0"/>
    <pivotField axis="axisRow" dataField="1" showAll="0">
      <items count="4">
        <item x="0"/>
        <item m="1" x="2"/>
        <item x="1"/>
        <item t="default"/>
      </items>
    </pivotField>
  </pivotFields>
  <rowFields count="1">
    <field x="24"/>
  </rowFields>
  <rowItems count="3">
    <i>
      <x/>
    </i>
    <i>
      <x v="2"/>
    </i>
    <i t="grand">
      <x/>
    </i>
  </rowItems>
  <colItems count="1">
    <i/>
  </colItems>
  <dataFields count="1">
    <dataField name="Count of الحالة" fld="24" subtotal="count" showDataAs="percentOfTotal" baseField="24" baseItem="0" numFmtId="10"/>
  </dataFields>
  <formats count="33">
    <format dxfId="1513">
      <pivotArea outline="0" collapsedLevelsAreSubtotals="1" fieldPosition="0"/>
    </format>
    <format dxfId="1512">
      <pivotArea outline="0" collapsedLevelsAreSubtotals="1" fieldPosition="0"/>
    </format>
    <format dxfId="1511">
      <pivotArea outline="0" collapsedLevelsAreSubtotals="1" fieldPosition="0"/>
    </format>
    <format dxfId="1510">
      <pivotArea outline="0" collapsedLevelsAreSubtotals="1" fieldPosition="0"/>
    </format>
    <format dxfId="1509">
      <pivotArea outline="0" collapsedLevelsAreSubtotals="1" fieldPosition="0"/>
    </format>
    <format dxfId="1508">
      <pivotArea outline="0" collapsedLevelsAreSubtotals="1" fieldPosition="0"/>
    </format>
    <format dxfId="1507">
      <pivotArea outline="0" collapsedLevelsAreSubtotals="1" fieldPosition="0"/>
    </format>
    <format dxfId="1506">
      <pivotArea outline="0" collapsedLevelsAreSubtotals="1" fieldPosition="0"/>
    </format>
    <format dxfId="1505">
      <pivotArea outline="0" collapsedLevelsAreSubtotals="1" fieldPosition="0"/>
    </format>
    <format dxfId="1504">
      <pivotArea outline="0" collapsedLevelsAreSubtotals="1" fieldPosition="0"/>
    </format>
    <format dxfId="1503">
      <pivotArea outline="0" collapsedLevelsAreSubtotals="1" fieldPosition="0"/>
    </format>
    <format dxfId="1502">
      <pivotArea outline="0" collapsedLevelsAreSubtotals="1" fieldPosition="0"/>
    </format>
    <format dxfId="1501">
      <pivotArea outline="0" collapsedLevelsAreSubtotals="1" fieldPosition="0"/>
    </format>
    <format dxfId="1500">
      <pivotArea outline="0" collapsedLevelsAreSubtotals="1" fieldPosition="0"/>
    </format>
    <format dxfId="1499">
      <pivotArea outline="0" collapsedLevelsAreSubtotals="1" fieldPosition="0"/>
    </format>
    <format dxfId="1498">
      <pivotArea outline="0" collapsedLevelsAreSubtotals="1" fieldPosition="0"/>
    </format>
    <format dxfId="1497">
      <pivotArea outline="0" collapsedLevelsAreSubtotals="1" fieldPosition="0"/>
    </format>
    <format dxfId="1496">
      <pivotArea field="14" type="button" dataOnly="0" labelOnly="1" outline="0"/>
    </format>
    <format dxfId="1495">
      <pivotArea outline="0" collapsedLevelsAreSubtotals="1" fieldPosition="0"/>
    </format>
    <format dxfId="1494">
      <pivotArea grandRow="1" outline="0" collapsedLevelsAreSubtotals="1" fieldPosition="0"/>
    </format>
    <format dxfId="1493">
      <pivotArea grandRow="1" outline="0" collapsedLevelsAreSubtotals="1" fieldPosition="0"/>
    </format>
    <format dxfId="1492">
      <pivotArea grandRow="1" outline="0" collapsedLevelsAreSubtotals="1" fieldPosition="0"/>
    </format>
    <format dxfId="1491">
      <pivotArea field="24" type="button" dataOnly="0" labelOnly="1" outline="0" axis="axisRow" fieldPosition="0"/>
    </format>
    <format dxfId="1490">
      <pivotArea collapsedLevelsAreSubtotals="1" fieldPosition="0">
        <references count="1">
          <reference field="24" count="1">
            <x v="0"/>
          </reference>
        </references>
      </pivotArea>
    </format>
    <format dxfId="1489">
      <pivotArea collapsedLevelsAreSubtotals="1" fieldPosition="0">
        <references count="1">
          <reference field="24" count="1">
            <x v="0"/>
          </reference>
        </references>
      </pivotArea>
    </format>
    <format dxfId="1488">
      <pivotArea collapsedLevelsAreSubtotals="1" fieldPosition="0">
        <references count="1">
          <reference field="24" count="1">
            <x v="0"/>
          </reference>
        </references>
      </pivotArea>
    </format>
    <format dxfId="1487">
      <pivotArea collapsedLevelsAreSubtotals="1" fieldPosition="0">
        <references count="1">
          <reference field="24" count="1">
            <x v="2"/>
          </reference>
        </references>
      </pivotArea>
    </format>
    <format dxfId="1486">
      <pivotArea collapsedLevelsAreSubtotals="1" fieldPosition="0">
        <references count="1">
          <reference field="24" count="1">
            <x v="2"/>
          </reference>
        </references>
      </pivotArea>
    </format>
    <format dxfId="1485">
      <pivotArea collapsedLevelsAreSubtotals="1" fieldPosition="0">
        <references count="1">
          <reference field="24" count="1">
            <x v="2"/>
          </reference>
        </references>
      </pivotArea>
    </format>
    <format dxfId="1484">
      <pivotArea collapsedLevelsAreSubtotals="1" fieldPosition="0">
        <references count="1">
          <reference field="24" count="1">
            <x v="2"/>
          </reference>
        </references>
      </pivotArea>
    </format>
    <format dxfId="1483">
      <pivotArea collapsedLevelsAreSubtotals="1" fieldPosition="0">
        <references count="1">
          <reference field="24" count="1">
            <x v="2"/>
          </reference>
        </references>
      </pivotArea>
    </format>
    <format dxfId="1482">
      <pivotArea collapsedLevelsAreSubtotals="1" fieldPosition="0">
        <references count="1">
          <reference field="24" count="1">
            <x v="2"/>
          </reference>
        </references>
      </pivotArea>
    </format>
    <format dxfId="1481">
      <pivotArea outline="0" fieldPosition="0">
        <references count="1">
          <reference field="4294967294" count="1">
            <x v="0"/>
          </reference>
        </references>
      </pivotArea>
    </format>
  </formats>
  <chartFormats count="12">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24" count="1" selected="0">
            <x v="0"/>
          </reference>
        </references>
      </pivotArea>
    </chartFormat>
    <chartFormat chart="18" format="3">
      <pivotArea type="data" outline="0" fieldPosition="0">
        <references count="2">
          <reference field="4294967294" count="1" selected="0">
            <x v="0"/>
          </reference>
          <reference field="24" count="1" selected="0">
            <x v="2"/>
          </reference>
        </references>
      </pivotArea>
    </chartFormat>
    <chartFormat chart="17" format="1">
      <pivotArea type="data" outline="0" fieldPosition="0">
        <references count="2">
          <reference field="4294967294" count="1" selected="0">
            <x v="0"/>
          </reference>
          <reference field="24" count="1" selected="0">
            <x v="0"/>
          </reference>
        </references>
      </pivotArea>
    </chartFormat>
    <chartFormat chart="17" format="2">
      <pivotArea type="data" outline="0" fieldPosition="0">
        <references count="2">
          <reference field="4294967294" count="1" selected="0">
            <x v="0"/>
          </reference>
          <reference field="24" count="1" selected="0">
            <x v="2"/>
          </reference>
        </references>
      </pivotArea>
    </chartFormat>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24" count="1" selected="0">
            <x v="2"/>
          </reference>
        </references>
      </pivotArea>
    </chartFormat>
    <chartFormat chart="21" format="2">
      <pivotArea type="data" outline="0" fieldPosition="0">
        <references count="2">
          <reference field="4294967294" count="1" selected="0">
            <x v="0"/>
          </reference>
          <reference field="2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24" count="1" selected="0">
            <x v="0"/>
          </reference>
        </references>
      </pivotArea>
    </chartFormat>
    <chartFormat chart="23" format="8">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CB8:CC19" firstHeaderRow="1" firstDataRow="1" firstDataCol="1"/>
  <pivotFields count="25">
    <pivotField showAll="0"/>
    <pivotField showAll="0"/>
    <pivotField showAll="0"/>
    <pivotField dataField="1" showAll="0"/>
    <pivotField showAll="0"/>
    <pivotField showAll="0"/>
    <pivotField axis="axisRow" showAll="0" measureFilter="1" sortType="descending">
      <items count="33">
        <item x="0"/>
        <item x="2"/>
        <item x="4"/>
        <item x="22"/>
        <item x="21"/>
        <item x="1"/>
        <item x="24"/>
        <item x="5"/>
        <item m="1" x="31"/>
        <item x="19"/>
        <item x="26"/>
        <item x="25"/>
        <item x="15"/>
        <item x="18"/>
        <item x="6"/>
        <item x="20"/>
        <item x="13"/>
        <item x="3"/>
        <item x="8"/>
        <item x="10"/>
        <item x="14"/>
        <item x="12"/>
        <item x="23"/>
        <item x="11"/>
        <item x="17"/>
        <item x="16"/>
        <item x="29"/>
        <item x="27"/>
        <item x="28"/>
        <item x="9"/>
        <item x="7"/>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v="2"/>
    </i>
    <i>
      <x v="19"/>
    </i>
    <i>
      <x v="14"/>
    </i>
    <i>
      <x v="23"/>
    </i>
    <i>
      <x v="22"/>
    </i>
    <i>
      <x v="5"/>
    </i>
    <i>
      <x v="7"/>
    </i>
    <i>
      <x v="21"/>
    </i>
    <i>
      <x v="11"/>
    </i>
    <i>
      <x v="12"/>
    </i>
    <i t="grand">
      <x/>
    </i>
  </rowItems>
  <colItems count="1">
    <i/>
  </colItems>
  <dataFields count="1">
    <dataField name="Count of أسم العميل" fld="3" subtotal="count" baseField="0" baseItem="0"/>
  </dataFields>
  <chartFormats count="9">
    <chartFormat chart="14" format="0"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0"/>
          </reference>
        </references>
      </pivotArea>
    </chartFormat>
    <chartFormat chart="18" format="14"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6" count="1" selected="0">
            <x v="19"/>
          </reference>
        </references>
      </pivotArea>
    </chartFormat>
    <chartFormat chart="16" format="5">
      <pivotArea type="data" outline="0" fieldPosition="0">
        <references count="2">
          <reference field="4294967294" count="1" selected="0">
            <x v="0"/>
          </reference>
          <reference field="6" count="1" selected="0">
            <x v="31"/>
          </reference>
        </references>
      </pivotArea>
    </chartFormat>
    <chartFormat chart="16" format="6">
      <pivotArea type="data" outline="0" fieldPosition="0">
        <references count="2">
          <reference field="4294967294" count="1" selected="0">
            <x v="0"/>
          </reference>
          <reference field="6" count="1" selected="0">
            <x v="14"/>
          </reference>
        </references>
      </pivotArea>
    </chartFormat>
    <chartFormat chart="16" format="7">
      <pivotArea type="data" outline="0" fieldPosition="0">
        <references count="2">
          <reference field="4294967294" count="1" selected="0">
            <x v="0"/>
          </reference>
          <reference field="6" count="1" selected="0">
            <x v="23"/>
          </reference>
        </references>
      </pivotArea>
    </chartFormat>
    <chartFormat chart="16" format="8">
      <pivotArea type="data" outline="0" fieldPosition="0">
        <references count="2">
          <reference field="4294967294" count="1" selected="0">
            <x v="0"/>
          </reference>
          <reference field="6" count="1" selected="0">
            <x v="2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O9:AP16" firstHeaderRow="1" firstDataRow="1" firstDataCol="1"/>
  <pivotFields count="25">
    <pivotField showAll="0"/>
    <pivotField showAll="0"/>
    <pivotField showAll="0"/>
    <pivotField showAll="0"/>
    <pivotField showAll="0">
      <items count="3">
        <item x="1"/>
        <item x="0"/>
        <item t="default"/>
      </items>
    </pivotField>
    <pivotField showAll="0"/>
    <pivotField showAll="0"/>
    <pivotField showAll="0" defaultSubtotal="0"/>
    <pivotField axis="axisRow" dataField="1" showAll="0" sortType="descending">
      <items count="8">
        <item x="1"/>
        <item x="3"/>
        <item x="0"/>
        <item m="1" x="6"/>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74">
        <item x="29"/>
        <item x="40"/>
        <item x="39"/>
        <item x="20"/>
        <item x="12"/>
        <item x="19"/>
        <item x="15"/>
        <item x="8"/>
        <item x="14"/>
        <item x="67"/>
        <item x="46"/>
        <item x="22"/>
        <item x="11"/>
        <item x="3"/>
        <item x="66"/>
        <item x="36"/>
        <item x="7"/>
        <item x="30"/>
        <item x="35"/>
        <item x="24"/>
        <item x="38"/>
        <item x="16"/>
        <item x="25"/>
        <item x="64"/>
        <item x="32"/>
        <item x="48"/>
        <item x="6"/>
        <item x="10"/>
        <item x="55"/>
        <item x="45"/>
        <item x="59"/>
        <item x="63"/>
        <item x="26"/>
        <item x="27"/>
        <item x="68"/>
        <item x="41"/>
        <item x="31"/>
        <item x="2"/>
        <item x="33"/>
        <item x="13"/>
        <item x="17"/>
        <item x="70"/>
        <item x="18"/>
        <item x="60"/>
        <item x="57"/>
        <item x="44"/>
        <item x="49"/>
        <item x="23"/>
        <item x="37"/>
        <item x="69"/>
        <item x="1"/>
        <item x="21"/>
        <item x="0"/>
        <item x="28"/>
        <item x="4"/>
        <item x="61"/>
        <item x="42"/>
        <item x="71"/>
        <item x="62"/>
        <item x="43"/>
        <item x="9"/>
        <item x="54"/>
        <item x="53"/>
        <item x="51"/>
        <item x="65"/>
        <item x="34"/>
        <item x="56"/>
        <item x="52"/>
        <item x="72"/>
        <item x="47"/>
        <item x="5"/>
        <item x="50"/>
        <item x="58"/>
        <item t="default"/>
      </items>
    </pivotField>
    <pivotField showAll="0"/>
    <pivotField showAll="0"/>
    <pivotField showAll="0"/>
    <pivotField showAll="0"/>
    <pivotField showAll="0"/>
    <pivotField showAll="0" defaultSubtotal="0"/>
    <pivotField showAll="0" defaultSubtotal="0">
      <items count="3">
        <item x="2"/>
        <item x="1"/>
        <item x="0"/>
      </items>
    </pivotField>
    <pivotField showAll="0"/>
    <pivotField showAll="0"/>
    <pivotField showAll="0"/>
  </pivotFields>
  <rowFields count="1">
    <field x="8"/>
  </rowFields>
  <rowItems count="7">
    <i>
      <x v="2"/>
    </i>
    <i>
      <x v="6"/>
    </i>
    <i>
      <x/>
    </i>
    <i>
      <x v="5"/>
    </i>
    <i>
      <x v="1"/>
    </i>
    <i>
      <x v="4"/>
    </i>
    <i t="grand">
      <x/>
    </i>
  </rowItems>
  <colItems count="1">
    <i/>
  </colItems>
  <dataFields count="1">
    <dataField name="Count of الاثاث" fld="8" subtotal="count" baseField="0" baseItem="0"/>
  </dataFields>
  <formats count="24">
    <format dxfId="1537">
      <pivotArea outline="0" collapsedLevelsAreSubtotals="1" fieldPosition="0"/>
    </format>
    <format dxfId="1536">
      <pivotArea outline="0" collapsedLevelsAreSubtotals="1" fieldPosition="0"/>
    </format>
    <format dxfId="1535">
      <pivotArea outline="0" collapsedLevelsAreSubtotals="1" fieldPosition="0"/>
    </format>
    <format dxfId="1534">
      <pivotArea outline="0" collapsedLevelsAreSubtotals="1" fieldPosition="0"/>
    </format>
    <format dxfId="1533">
      <pivotArea outline="0" collapsedLevelsAreSubtotals="1" fieldPosition="0"/>
    </format>
    <format dxfId="1532">
      <pivotArea outline="0" collapsedLevelsAreSubtotals="1" fieldPosition="0"/>
    </format>
    <format dxfId="1531">
      <pivotArea outline="0" collapsedLevelsAreSubtotals="1" fieldPosition="0"/>
    </format>
    <format dxfId="1530">
      <pivotArea outline="0" collapsedLevelsAreSubtotals="1" fieldPosition="0"/>
    </format>
    <format dxfId="1529">
      <pivotArea outline="0" collapsedLevelsAreSubtotals="1" fieldPosition="0"/>
    </format>
    <format dxfId="1528">
      <pivotArea outline="0" collapsedLevelsAreSubtotals="1" fieldPosition="0"/>
    </format>
    <format dxfId="1527">
      <pivotArea outline="0" collapsedLevelsAreSubtotals="1" fieldPosition="0"/>
    </format>
    <format dxfId="1526">
      <pivotArea outline="0" collapsedLevelsAreSubtotals="1" fieldPosition="0"/>
    </format>
    <format dxfId="1525">
      <pivotArea outline="0" collapsedLevelsAreSubtotals="1" fieldPosition="0"/>
    </format>
    <format dxfId="1524">
      <pivotArea outline="0" collapsedLevelsAreSubtotals="1" fieldPosition="0"/>
    </format>
    <format dxfId="1523">
      <pivotArea outline="0" collapsedLevelsAreSubtotals="1" fieldPosition="0"/>
    </format>
    <format dxfId="1522">
      <pivotArea outline="0" collapsedLevelsAreSubtotals="1" fieldPosition="0"/>
    </format>
    <format dxfId="1521">
      <pivotArea outline="0" collapsedLevelsAreSubtotals="1" fieldPosition="0"/>
    </format>
    <format dxfId="1520">
      <pivotArea field="14" type="button" dataOnly="0" labelOnly="1" outline="0"/>
    </format>
    <format dxfId="1519">
      <pivotArea field="14" type="button" dataOnly="0" labelOnly="1" outline="0"/>
    </format>
    <format dxfId="1518">
      <pivotArea field="14" type="button" dataOnly="0" labelOnly="1" outline="0"/>
    </format>
    <format dxfId="1517">
      <pivotArea dataOnly="0" labelOnly="1" fieldPosition="0">
        <references count="1">
          <reference field="8" count="0"/>
        </references>
      </pivotArea>
    </format>
    <format dxfId="1516">
      <pivotArea collapsedLevelsAreSubtotals="1" fieldPosition="0">
        <references count="1">
          <reference field="8" count="0"/>
        </references>
      </pivotArea>
    </format>
    <format dxfId="1515">
      <pivotArea collapsedLevelsAreSubtotals="1" fieldPosition="0">
        <references count="1">
          <reference field="8" count="0"/>
        </references>
      </pivotArea>
    </format>
    <format dxfId="1514">
      <pivotArea collapsedLevelsAreSubtotals="1" fieldPosition="0">
        <references count="1">
          <reference field="8" count="0"/>
        </references>
      </pivotArea>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rowHeaderCaption="الحالة">
  <location ref="CF11:CH28" firstHeaderRow="1" firstDataRow="1" firstDataCol="0"/>
  <pivotFields count="25">
    <pivotField showAll="0"/>
    <pivotField showAll="0"/>
    <pivotField showAll="0"/>
    <pivotField showAll="0"/>
    <pivotField showAll="0">
      <items count="3">
        <item x="1"/>
        <item x="0"/>
        <item t="default"/>
      </items>
    </pivotField>
    <pivotField showAll="0"/>
    <pivotField showAll="0"/>
    <pivotField showAll="0" defaultSubtotal="0"/>
    <pivotField showAll="0"/>
    <pivotField showAll="0"/>
    <pivotField showAll="0"/>
    <pivotField showAll="0"/>
    <pivotField showAll="0"/>
    <pivotField showAll="0"/>
    <pivotField showAll="0">
      <items count="74">
        <item x="29"/>
        <item x="40"/>
        <item x="39"/>
        <item x="20"/>
        <item x="12"/>
        <item x="19"/>
        <item x="15"/>
        <item x="8"/>
        <item x="14"/>
        <item x="67"/>
        <item x="46"/>
        <item x="22"/>
        <item x="11"/>
        <item x="3"/>
        <item x="66"/>
        <item x="36"/>
        <item x="7"/>
        <item x="30"/>
        <item x="35"/>
        <item x="24"/>
        <item x="38"/>
        <item x="16"/>
        <item x="25"/>
        <item x="64"/>
        <item x="32"/>
        <item x="48"/>
        <item x="6"/>
        <item x="10"/>
        <item x="55"/>
        <item x="45"/>
        <item x="59"/>
        <item x="63"/>
        <item x="26"/>
        <item x="27"/>
        <item x="68"/>
        <item x="41"/>
        <item x="31"/>
        <item x="2"/>
        <item x="33"/>
        <item x="13"/>
        <item x="17"/>
        <item x="70"/>
        <item x="18"/>
        <item x="60"/>
        <item x="57"/>
        <item x="44"/>
        <item x="49"/>
        <item x="23"/>
        <item x="37"/>
        <item x="69"/>
        <item x="1"/>
        <item x="21"/>
        <item x="0"/>
        <item x="28"/>
        <item x="4"/>
        <item x="61"/>
        <item x="42"/>
        <item x="71"/>
        <item x="62"/>
        <item x="43"/>
        <item x="9"/>
        <item x="54"/>
        <item x="53"/>
        <item x="51"/>
        <item x="65"/>
        <item x="34"/>
        <item x="56"/>
        <item x="52"/>
        <item x="72"/>
        <item x="47"/>
        <item x="5"/>
        <item x="50"/>
        <item x="58"/>
        <item t="default"/>
      </items>
    </pivotField>
    <pivotField showAll="0"/>
    <pivotField showAll="0"/>
    <pivotField showAll="0"/>
    <pivotField showAll="0"/>
    <pivotField showAll="0"/>
    <pivotField showAll="0" defaultSubtotal="0"/>
    <pivotField showAll="0" defaultSubtotal="0">
      <items count="3">
        <item x="2"/>
        <item x="1"/>
        <item x="0"/>
      </items>
    </pivotField>
    <pivotField showAll="0"/>
    <pivotField showAll="0"/>
    <pivotField showAll="0">
      <items count="4">
        <item x="0"/>
        <item m="1" x="2"/>
        <item x="1"/>
        <item t="default"/>
      </items>
    </pivotField>
  </pivotFields>
  <formats count="23">
    <format dxfId="1560">
      <pivotArea outline="0" collapsedLevelsAreSubtotals="1" fieldPosition="0"/>
    </format>
    <format dxfId="1559">
      <pivotArea outline="0" collapsedLevelsAreSubtotals="1" fieldPosition="0"/>
    </format>
    <format dxfId="1558">
      <pivotArea outline="0" collapsedLevelsAreSubtotals="1" fieldPosition="0"/>
    </format>
    <format dxfId="1557">
      <pivotArea outline="0" collapsedLevelsAreSubtotals="1" fieldPosition="0"/>
    </format>
    <format dxfId="1556">
      <pivotArea outline="0" collapsedLevelsAreSubtotals="1" fieldPosition="0"/>
    </format>
    <format dxfId="1555">
      <pivotArea outline="0" collapsedLevelsAreSubtotals="1" fieldPosition="0"/>
    </format>
    <format dxfId="1554">
      <pivotArea outline="0" collapsedLevelsAreSubtotals="1" fieldPosition="0"/>
    </format>
    <format dxfId="1553">
      <pivotArea outline="0" collapsedLevelsAreSubtotals="1" fieldPosition="0"/>
    </format>
    <format dxfId="1552">
      <pivotArea outline="0" collapsedLevelsAreSubtotals="1" fieldPosition="0"/>
    </format>
    <format dxfId="1551">
      <pivotArea outline="0" collapsedLevelsAreSubtotals="1" fieldPosition="0"/>
    </format>
    <format dxfId="1550">
      <pivotArea outline="0" collapsedLevelsAreSubtotals="1" fieldPosition="0"/>
    </format>
    <format dxfId="1549">
      <pivotArea outline="0" collapsedLevelsAreSubtotals="1" fieldPosition="0"/>
    </format>
    <format dxfId="1548">
      <pivotArea outline="0" collapsedLevelsAreSubtotals="1" fieldPosition="0"/>
    </format>
    <format dxfId="1547">
      <pivotArea outline="0" collapsedLevelsAreSubtotals="1" fieldPosition="0"/>
    </format>
    <format dxfId="1546">
      <pivotArea outline="0" collapsedLevelsAreSubtotals="1" fieldPosition="0"/>
    </format>
    <format dxfId="1545">
      <pivotArea outline="0" collapsedLevelsAreSubtotals="1" fieldPosition="0"/>
    </format>
    <format dxfId="1544">
      <pivotArea outline="0" collapsedLevelsAreSubtotals="1" fieldPosition="0"/>
    </format>
    <format dxfId="1543">
      <pivotArea field="14" type="button" dataOnly="0" labelOnly="1" outline="0"/>
    </format>
    <format dxfId="1542">
      <pivotArea outline="0" collapsedLevelsAreSubtotals="1" fieldPosition="0"/>
    </format>
    <format dxfId="1541">
      <pivotArea grandRow="1" outline="0" collapsedLevelsAreSubtotals="1" fieldPosition="0"/>
    </format>
    <format dxfId="1540">
      <pivotArea grandRow="1" outline="0" collapsedLevelsAreSubtotals="1" fieldPosition="0"/>
    </format>
    <format dxfId="1539">
      <pivotArea grandRow="1" outline="0" collapsedLevelsAreSubtotals="1" fieldPosition="0"/>
    </format>
    <format dxfId="1538">
      <pivotArea field="24"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نوع_العميل1" sourceName="نوع العميل">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 tabId="4" name="PivotTable11"/>
  </pivotTables>
  <data>
    <tabular pivotCacheId="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حاله_التسليم_في_الموعد" sourceName="حاله التسليم في الموعد">
  <pivotTables>
    <pivotTable tabId="4" name="PivotTable11"/>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نوع العميل 1" cache="Slicer_نوع_العميل1" caption="نوع العميل" rowHeight="234950"/>
  <slicer name="حاله التسليم في الموعد" cache="Slicer_حاله_التسليم_في_الموعد" caption="حاله التسليم في الموعد"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نوع العميل 2" cache="Slicer_نوع_العميل1" caption="نوع العميل" columnCount="2" style="Slicer Style 1" rowHeight="234950"/>
  <slicer name="حاله التسليم في الموعد 1" cache="Slicer_حاله_التسليم_في_الموعد" caption="حاله التسليم في الموعد" columnCount="2"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showGridLines="0" rightToLeft="1" workbookViewId="0">
      <selection activeCell="B16" sqref="B16"/>
    </sheetView>
  </sheetViews>
  <sheetFormatPr defaultRowHeight="14.4" x14ac:dyDescent="0.3"/>
  <cols>
    <col min="2" max="2" width="41.88671875" customWidth="1"/>
  </cols>
  <sheetData>
    <row r="1" spans="1:2" x14ac:dyDescent="0.3">
      <c r="A1" s="27"/>
      <c r="B1" s="27"/>
    </row>
    <row r="2" spans="1:2" x14ac:dyDescent="0.3">
      <c r="A2" s="27"/>
      <c r="B2" s="27"/>
    </row>
    <row r="3" spans="1:2" s="25" customFormat="1" ht="24.6" x14ac:dyDescent="0.4">
      <c r="A3" s="25" t="s">
        <v>260</v>
      </c>
    </row>
    <row r="4" spans="1:2" s="26" customFormat="1" ht="18" x14ac:dyDescent="0.35">
      <c r="A4" s="29" t="s">
        <v>253</v>
      </c>
      <c r="B4" s="29"/>
    </row>
    <row r="5" spans="1:2" s="22" customFormat="1" x14ac:dyDescent="0.3">
      <c r="A5" s="30"/>
      <c r="B5" s="30"/>
    </row>
    <row r="6" spans="1:2" s="24" customFormat="1" ht="17.399999999999999" x14ac:dyDescent="0.3">
      <c r="A6" s="24" t="s">
        <v>259</v>
      </c>
    </row>
    <row r="7" spans="1:2" s="23" customFormat="1" ht="15.6" x14ac:dyDescent="0.3">
      <c r="A7" s="31" t="s">
        <v>254</v>
      </c>
      <c r="B7" s="28"/>
    </row>
    <row r="8" spans="1:2" s="23" customFormat="1" ht="15.6" x14ac:dyDescent="0.3">
      <c r="A8" s="28" t="s">
        <v>255</v>
      </c>
      <c r="B8" s="28"/>
    </row>
    <row r="9" spans="1:2" s="23" customFormat="1" ht="15.6" x14ac:dyDescent="0.3">
      <c r="A9" s="28" t="s">
        <v>256</v>
      </c>
      <c r="B9" s="28"/>
    </row>
    <row r="10" spans="1:2" s="23" customFormat="1" ht="15.6" x14ac:dyDescent="0.3">
      <c r="A10" s="28" t="s">
        <v>257</v>
      </c>
      <c r="B10" s="28"/>
    </row>
    <row r="11" spans="1:2" s="28" customFormat="1" ht="15.6" x14ac:dyDescent="0.3">
      <c r="A11" s="28" t="s">
        <v>261</v>
      </c>
    </row>
    <row r="12" spans="1:2" s="23" customFormat="1" ht="15.6" x14ac:dyDescent="0.3">
      <c r="A12" s="28" t="s">
        <v>262</v>
      </c>
      <c r="B12" s="28"/>
    </row>
    <row r="13" spans="1:2" s="23" customFormat="1" ht="15.6" x14ac:dyDescent="0.3">
      <c r="A13" s="28" t="s">
        <v>258</v>
      </c>
      <c r="B13" s="28"/>
    </row>
    <row r="14" spans="1:2" s="23" customFormat="1" ht="15.6" x14ac:dyDescent="0.3">
      <c r="A14" s="28" t="s">
        <v>265</v>
      </c>
      <c r="B14"/>
    </row>
    <row r="15" spans="1:2" s="23" customFormat="1" ht="15.6" x14ac:dyDescent="0.3">
      <c r="A15" s="28" t="s">
        <v>263</v>
      </c>
      <c r="B15" s="28"/>
    </row>
    <row r="16" spans="1:2" ht="15.6" x14ac:dyDescent="0.3">
      <c r="A16" s="28" t="s">
        <v>264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70"/>
  <sheetViews>
    <sheetView rightToLeft="1" zoomScale="91" zoomScaleNormal="70" workbookViewId="0">
      <selection activeCell="G94" sqref="G94"/>
    </sheetView>
  </sheetViews>
  <sheetFormatPr defaultColWidth="8.88671875" defaultRowHeight="14.4" x14ac:dyDescent="0.3"/>
  <cols>
    <col min="1" max="1" width="7" style="33" customWidth="1"/>
    <col min="2" max="2" width="21.5546875" style="33" customWidth="1"/>
    <col min="3" max="3" width="22" style="51" customWidth="1"/>
    <col min="4" max="5" width="15.21875" style="33" customWidth="1"/>
    <col min="6" max="6" width="27" style="33" customWidth="1"/>
    <col min="7" max="8" width="14.6640625" style="33" customWidth="1"/>
    <col min="9" max="9" width="20.6640625" style="33" customWidth="1"/>
    <col min="10" max="10" width="18.44140625" style="33" customWidth="1"/>
    <col min="11" max="11" width="10.21875" style="33" customWidth="1"/>
    <col min="12" max="12" width="14.109375" style="33" customWidth="1"/>
    <col min="13" max="13" width="18.33203125" style="33" customWidth="1"/>
    <col min="14" max="14" width="16.6640625" style="33" customWidth="1"/>
    <col min="15" max="15" width="36.44140625" style="33" customWidth="1"/>
    <col min="16" max="16" width="17.5546875" style="33" customWidth="1"/>
    <col min="17" max="17" width="18" style="45" customWidth="1"/>
    <col min="18" max="18" width="15.33203125" style="48" customWidth="1"/>
    <col min="19" max="19" width="17.109375" style="48" customWidth="1"/>
    <col min="20" max="22" width="24" style="48" customWidth="1"/>
    <col min="23" max="23" width="24" style="58" customWidth="1"/>
    <col min="24" max="24" width="24" style="33" customWidth="1"/>
    <col min="25" max="25" width="10" style="39" customWidth="1"/>
    <col min="26" max="16384" width="8.88671875" style="1"/>
  </cols>
  <sheetData>
    <row r="1" spans="1:25" ht="20.100000000000001" customHeight="1" x14ac:dyDescent="0.3">
      <c r="A1" s="2" t="s">
        <v>5</v>
      </c>
      <c r="B1" s="52" t="s">
        <v>154</v>
      </c>
      <c r="C1" s="52" t="s">
        <v>155</v>
      </c>
      <c r="D1" s="2" t="s">
        <v>0</v>
      </c>
      <c r="E1" s="2" t="s">
        <v>329</v>
      </c>
      <c r="F1" s="2" t="s">
        <v>1</v>
      </c>
      <c r="G1" s="2" t="s">
        <v>318</v>
      </c>
      <c r="H1" s="2" t="s">
        <v>341</v>
      </c>
      <c r="I1" s="2" t="s">
        <v>271</v>
      </c>
      <c r="J1" s="2" t="s">
        <v>272</v>
      </c>
      <c r="K1" s="2" t="s">
        <v>147</v>
      </c>
      <c r="L1" s="2" t="s">
        <v>148</v>
      </c>
      <c r="M1" s="2" t="s">
        <v>152</v>
      </c>
      <c r="N1" s="2" t="s">
        <v>153</v>
      </c>
      <c r="O1" s="34" t="s">
        <v>2</v>
      </c>
      <c r="P1" s="2" t="s">
        <v>6</v>
      </c>
      <c r="Q1" s="3" t="s">
        <v>7</v>
      </c>
      <c r="R1" s="47" t="s">
        <v>9</v>
      </c>
      <c r="S1" s="47" t="s">
        <v>8</v>
      </c>
      <c r="T1" s="47" t="s">
        <v>3</v>
      </c>
      <c r="U1" s="47" t="s">
        <v>352</v>
      </c>
      <c r="V1" s="47" t="s">
        <v>354</v>
      </c>
      <c r="W1" s="56" t="s">
        <v>332</v>
      </c>
      <c r="X1" s="2" t="s">
        <v>4</v>
      </c>
      <c r="Y1" s="4" t="s">
        <v>163</v>
      </c>
    </row>
    <row r="2" spans="1:25" ht="20.100000000000001" customHeight="1" x14ac:dyDescent="0.3">
      <c r="A2" s="40">
        <v>1</v>
      </c>
      <c r="B2" s="16"/>
      <c r="C2" s="16"/>
      <c r="D2" s="40" t="s">
        <v>10</v>
      </c>
      <c r="E2" s="40" t="s">
        <v>330</v>
      </c>
      <c r="F2" s="40" t="s">
        <v>312</v>
      </c>
      <c r="G2" s="40" t="s">
        <v>313</v>
      </c>
      <c r="H2" s="40" t="s">
        <v>342</v>
      </c>
      <c r="I2" s="40" t="s">
        <v>127</v>
      </c>
      <c r="J2" s="40" t="s">
        <v>128</v>
      </c>
      <c r="K2" s="40"/>
      <c r="L2" s="40"/>
      <c r="M2" s="40" t="s">
        <v>140</v>
      </c>
      <c r="N2" s="40" t="s">
        <v>140</v>
      </c>
      <c r="O2" s="9" t="s">
        <v>11</v>
      </c>
      <c r="P2" s="40">
        <v>10160</v>
      </c>
      <c r="Q2" s="44" t="s">
        <v>12</v>
      </c>
      <c r="R2" s="46">
        <v>45500</v>
      </c>
      <c r="S2" s="40"/>
      <c r="T2" s="46">
        <v>45514</v>
      </c>
      <c r="U2" s="46"/>
      <c r="V2" s="46"/>
      <c r="W2" s="57">
        <f>T2-R2</f>
        <v>14</v>
      </c>
      <c r="X2" s="40" t="s">
        <v>20</v>
      </c>
      <c r="Y2" s="40" t="s">
        <v>165</v>
      </c>
    </row>
    <row r="3" spans="1:25" ht="20.100000000000001" customHeight="1" x14ac:dyDescent="0.3">
      <c r="A3" s="9">
        <v>2</v>
      </c>
      <c r="B3" s="16"/>
      <c r="C3" s="16"/>
      <c r="D3" s="9" t="s">
        <v>13</v>
      </c>
      <c r="E3" s="9" t="s">
        <v>330</v>
      </c>
      <c r="F3" s="9" t="s">
        <v>314</v>
      </c>
      <c r="G3" s="40" t="s">
        <v>324</v>
      </c>
      <c r="H3" s="40" t="s">
        <v>342</v>
      </c>
      <c r="I3" s="9" t="s">
        <v>127</v>
      </c>
      <c r="J3" s="9" t="s">
        <v>128</v>
      </c>
      <c r="K3" s="9"/>
      <c r="L3" s="9"/>
      <c r="M3" s="9" t="s">
        <v>171</v>
      </c>
      <c r="N3" s="9" t="s">
        <v>141</v>
      </c>
      <c r="O3" s="9" t="s">
        <v>14</v>
      </c>
      <c r="P3" s="9">
        <v>10160</v>
      </c>
      <c r="Q3" s="10">
        <v>9749</v>
      </c>
      <c r="R3" s="11">
        <v>45501</v>
      </c>
      <c r="S3" s="9"/>
      <c r="T3" s="11">
        <v>45515</v>
      </c>
      <c r="U3" s="46"/>
      <c r="V3" s="46"/>
      <c r="W3" s="57">
        <f>T3-R3</f>
        <v>14</v>
      </c>
      <c r="X3" s="40" t="s">
        <v>20</v>
      </c>
      <c r="Y3" s="40" t="s">
        <v>165</v>
      </c>
    </row>
    <row r="4" spans="1:25" ht="20.100000000000001" customHeight="1" x14ac:dyDescent="0.3">
      <c r="A4" s="6">
        <v>3</v>
      </c>
      <c r="B4" s="20"/>
      <c r="C4" s="20"/>
      <c r="D4" s="6" t="s">
        <v>15</v>
      </c>
      <c r="E4" s="6" t="s">
        <v>330</v>
      </c>
      <c r="F4" s="6" t="s">
        <v>315</v>
      </c>
      <c r="G4" s="6" t="s">
        <v>316</v>
      </c>
      <c r="H4" s="6" t="s">
        <v>342</v>
      </c>
      <c r="I4" s="6" t="s">
        <v>127</v>
      </c>
      <c r="J4" s="6" t="s">
        <v>139</v>
      </c>
      <c r="K4" s="6" t="s">
        <v>132</v>
      </c>
      <c r="L4" s="6">
        <v>90</v>
      </c>
      <c r="M4" s="6" t="s">
        <v>143</v>
      </c>
      <c r="N4" s="6" t="s">
        <v>143</v>
      </c>
      <c r="O4" s="6" t="s">
        <v>16</v>
      </c>
      <c r="P4" s="6">
        <v>11455</v>
      </c>
      <c r="Q4" s="14">
        <v>10067.68</v>
      </c>
      <c r="R4" s="15" t="s">
        <v>307</v>
      </c>
      <c r="S4" s="6"/>
      <c r="T4" s="6"/>
      <c r="U4" s="6"/>
      <c r="V4" s="6"/>
      <c r="W4" s="14"/>
      <c r="X4" s="6" t="s">
        <v>26</v>
      </c>
      <c r="Y4" s="6" t="s">
        <v>266</v>
      </c>
    </row>
    <row r="5" spans="1:25" ht="20.100000000000001" customHeight="1" x14ac:dyDescent="0.3">
      <c r="A5" s="9">
        <v>4</v>
      </c>
      <c r="B5" s="16"/>
      <c r="C5" s="16"/>
      <c r="D5" s="9" t="s">
        <v>17</v>
      </c>
      <c r="E5" s="9" t="s">
        <v>330</v>
      </c>
      <c r="F5" s="9" t="s">
        <v>18</v>
      </c>
      <c r="G5" s="40" t="s">
        <v>98</v>
      </c>
      <c r="H5" s="40" t="s">
        <v>342</v>
      </c>
      <c r="I5" s="9" t="s">
        <v>230</v>
      </c>
      <c r="J5" s="9"/>
      <c r="K5" s="9"/>
      <c r="L5" s="9"/>
      <c r="M5" s="9"/>
      <c r="N5" s="9"/>
      <c r="O5" s="9" t="s">
        <v>19</v>
      </c>
      <c r="P5" s="9">
        <v>8642</v>
      </c>
      <c r="Q5" s="10" t="s">
        <v>12</v>
      </c>
      <c r="R5" s="11">
        <v>45529</v>
      </c>
      <c r="S5" s="11">
        <v>45542</v>
      </c>
      <c r="T5" s="11">
        <v>45531</v>
      </c>
      <c r="U5" s="69">
        <f>IF(S5&lt;=T5,1,0)</f>
        <v>0</v>
      </c>
      <c r="V5" s="69" t="str">
        <f>IF(U5=0,"متاخر","في الموعد")</f>
        <v>متاخر</v>
      </c>
      <c r="W5" s="57">
        <f>T5-R5</f>
        <v>2</v>
      </c>
      <c r="X5" s="40" t="s">
        <v>20</v>
      </c>
      <c r="Y5" s="40" t="s">
        <v>165</v>
      </c>
    </row>
    <row r="6" spans="1:25" ht="20.100000000000001" customHeight="1" x14ac:dyDescent="0.3">
      <c r="A6" s="6">
        <v>5</v>
      </c>
      <c r="B6" s="20"/>
      <c r="C6" s="20"/>
      <c r="D6" s="6" t="s">
        <v>21</v>
      </c>
      <c r="E6" s="6" t="s">
        <v>330</v>
      </c>
      <c r="F6" s="6" t="s">
        <v>315</v>
      </c>
      <c r="G6" s="6" t="s">
        <v>316</v>
      </c>
      <c r="H6" s="6" t="s">
        <v>342</v>
      </c>
      <c r="I6" s="6" t="s">
        <v>127</v>
      </c>
      <c r="J6" s="6" t="s">
        <v>139</v>
      </c>
      <c r="K6" s="6" t="s">
        <v>129</v>
      </c>
      <c r="L6" s="6">
        <v>100</v>
      </c>
      <c r="M6" s="6" t="s">
        <v>145</v>
      </c>
      <c r="N6" s="6" t="s">
        <v>269</v>
      </c>
      <c r="O6" s="6" t="s">
        <v>286</v>
      </c>
      <c r="P6" s="6">
        <v>12833</v>
      </c>
      <c r="Q6" s="14">
        <v>12974.22</v>
      </c>
      <c r="R6" s="15">
        <v>45520</v>
      </c>
      <c r="S6" s="15">
        <v>45535</v>
      </c>
      <c r="T6" s="15"/>
      <c r="U6" s="15"/>
      <c r="V6" s="15"/>
      <c r="W6" s="14"/>
      <c r="X6" s="6" t="s">
        <v>26</v>
      </c>
      <c r="Y6" s="6" t="s">
        <v>266</v>
      </c>
    </row>
    <row r="7" spans="1:25" ht="20.100000000000001" customHeight="1" x14ac:dyDescent="0.3">
      <c r="A7" s="9">
        <v>6</v>
      </c>
      <c r="B7" s="16"/>
      <c r="C7" s="16"/>
      <c r="D7" s="9" t="s">
        <v>22</v>
      </c>
      <c r="E7" s="9" t="s">
        <v>331</v>
      </c>
      <c r="F7" s="9"/>
      <c r="G7" s="9" t="s">
        <v>361</v>
      </c>
      <c r="H7" s="9" t="s">
        <v>22</v>
      </c>
      <c r="I7" s="9" t="s">
        <v>170</v>
      </c>
      <c r="J7" s="9" t="s">
        <v>138</v>
      </c>
      <c r="K7" s="9"/>
      <c r="L7" s="9"/>
      <c r="M7" s="9" t="s">
        <v>145</v>
      </c>
      <c r="N7" s="9" t="s">
        <v>269</v>
      </c>
      <c r="O7" s="9" t="s">
        <v>23</v>
      </c>
      <c r="P7" s="9">
        <v>14550</v>
      </c>
      <c r="Q7" s="10" t="s">
        <v>12</v>
      </c>
      <c r="R7" s="11">
        <v>45518</v>
      </c>
      <c r="S7" s="11">
        <v>45538</v>
      </c>
      <c r="T7" s="11">
        <v>45540</v>
      </c>
      <c r="U7" s="69">
        <f t="shared" ref="U7:U13" si="0">IF(S7&lt;=T7,1,0)</f>
        <v>1</v>
      </c>
      <c r="V7" s="69" t="str">
        <f t="shared" ref="V7:V13" si="1">IF(U7=0,"متاخر","في الموعد")</f>
        <v>في الموعد</v>
      </c>
      <c r="W7" s="57">
        <f t="shared" ref="W7:W13" si="2">T7-R7</f>
        <v>22</v>
      </c>
      <c r="X7" s="40" t="s">
        <v>20</v>
      </c>
      <c r="Y7" s="40" t="s">
        <v>165</v>
      </c>
    </row>
    <row r="8" spans="1:25" ht="20.100000000000001" customHeight="1" x14ac:dyDescent="0.3">
      <c r="A8" s="9">
        <v>7</v>
      </c>
      <c r="B8" s="16"/>
      <c r="C8" s="16"/>
      <c r="D8" s="9" t="s">
        <v>24</v>
      </c>
      <c r="E8" s="9" t="s">
        <v>330</v>
      </c>
      <c r="F8" s="9" t="s">
        <v>25</v>
      </c>
      <c r="G8" s="9" t="s">
        <v>25</v>
      </c>
      <c r="H8" s="9" t="s">
        <v>343</v>
      </c>
      <c r="I8" s="9" t="s">
        <v>170</v>
      </c>
      <c r="J8" s="9" t="s">
        <v>138</v>
      </c>
      <c r="K8" s="9"/>
      <c r="L8" s="9"/>
      <c r="M8" s="9" t="s">
        <v>145</v>
      </c>
      <c r="N8" s="9" t="s">
        <v>269</v>
      </c>
      <c r="O8" s="9" t="s">
        <v>23</v>
      </c>
      <c r="P8" s="9">
        <v>12000</v>
      </c>
      <c r="Q8" s="10">
        <v>12000</v>
      </c>
      <c r="R8" s="11">
        <v>45521</v>
      </c>
      <c r="S8" s="11">
        <v>45524</v>
      </c>
      <c r="T8" s="11">
        <v>45523</v>
      </c>
      <c r="U8" s="69">
        <f t="shared" si="0"/>
        <v>0</v>
      </c>
      <c r="V8" s="69" t="str">
        <f t="shared" si="1"/>
        <v>متاخر</v>
      </c>
      <c r="W8" s="57">
        <f t="shared" si="2"/>
        <v>2</v>
      </c>
      <c r="X8" s="40" t="s">
        <v>20</v>
      </c>
      <c r="Y8" s="40" t="s">
        <v>165</v>
      </c>
    </row>
    <row r="9" spans="1:25" ht="20.100000000000001" customHeight="1" x14ac:dyDescent="0.3">
      <c r="A9" s="9">
        <v>8</v>
      </c>
      <c r="B9" s="16"/>
      <c r="C9" s="16"/>
      <c r="D9" s="9" t="s">
        <v>27</v>
      </c>
      <c r="E9" s="9" t="s">
        <v>331</v>
      </c>
      <c r="F9" s="9" t="s">
        <v>28</v>
      </c>
      <c r="G9" s="40" t="s">
        <v>361</v>
      </c>
      <c r="H9" s="40" t="s">
        <v>342</v>
      </c>
      <c r="I9" s="9" t="s">
        <v>127</v>
      </c>
      <c r="J9" s="9" t="s">
        <v>130</v>
      </c>
      <c r="K9" s="9"/>
      <c r="L9" s="9"/>
      <c r="M9" s="9" t="s">
        <v>140</v>
      </c>
      <c r="N9" s="9" t="s">
        <v>140</v>
      </c>
      <c r="O9" s="9" t="s">
        <v>29</v>
      </c>
      <c r="P9" s="9">
        <v>7228</v>
      </c>
      <c r="Q9" s="10" t="s">
        <v>12</v>
      </c>
      <c r="R9" s="11">
        <v>45529</v>
      </c>
      <c r="S9" s="11">
        <v>45538</v>
      </c>
      <c r="T9" s="11">
        <v>45545</v>
      </c>
      <c r="U9" s="69">
        <f t="shared" si="0"/>
        <v>1</v>
      </c>
      <c r="V9" s="69" t="str">
        <f t="shared" si="1"/>
        <v>في الموعد</v>
      </c>
      <c r="W9" s="57">
        <f t="shared" si="2"/>
        <v>16</v>
      </c>
      <c r="X9" s="40" t="s">
        <v>20</v>
      </c>
      <c r="Y9" s="40" t="s">
        <v>165</v>
      </c>
    </row>
    <row r="10" spans="1:25" ht="20.100000000000001" customHeight="1" x14ac:dyDescent="0.3">
      <c r="A10" s="9">
        <v>9</v>
      </c>
      <c r="B10" s="16"/>
      <c r="C10" s="16">
        <v>2514</v>
      </c>
      <c r="D10" s="9" t="s">
        <v>30</v>
      </c>
      <c r="E10" s="9" t="s">
        <v>331</v>
      </c>
      <c r="F10" s="9" t="s">
        <v>31</v>
      </c>
      <c r="G10" s="9" t="s">
        <v>34</v>
      </c>
      <c r="H10" s="9" t="s">
        <v>32</v>
      </c>
      <c r="I10" s="9" t="s">
        <v>134</v>
      </c>
      <c r="J10" s="9" t="s">
        <v>136</v>
      </c>
      <c r="K10" s="9"/>
      <c r="L10" s="9"/>
      <c r="M10" s="9"/>
      <c r="N10" s="9"/>
      <c r="O10" s="9" t="s">
        <v>33</v>
      </c>
      <c r="P10" s="9">
        <v>22000</v>
      </c>
      <c r="Q10" s="10">
        <v>22000</v>
      </c>
      <c r="R10" s="11">
        <v>45523</v>
      </c>
      <c r="S10" s="11">
        <v>45536</v>
      </c>
      <c r="T10" s="46">
        <v>45552</v>
      </c>
      <c r="U10" s="69">
        <f t="shared" si="0"/>
        <v>1</v>
      </c>
      <c r="V10" s="69" t="str">
        <f t="shared" si="1"/>
        <v>في الموعد</v>
      </c>
      <c r="W10" s="57">
        <f t="shared" si="2"/>
        <v>29</v>
      </c>
      <c r="X10" s="9" t="s">
        <v>267</v>
      </c>
      <c r="Y10" s="40" t="s">
        <v>165</v>
      </c>
    </row>
    <row r="11" spans="1:25" ht="20.100000000000001" customHeight="1" x14ac:dyDescent="0.3">
      <c r="A11" s="9">
        <v>11</v>
      </c>
      <c r="B11" s="16"/>
      <c r="C11" s="16">
        <v>2514</v>
      </c>
      <c r="D11" s="9" t="s">
        <v>30</v>
      </c>
      <c r="E11" s="9" t="s">
        <v>331</v>
      </c>
      <c r="F11" s="9" t="s">
        <v>34</v>
      </c>
      <c r="G11" s="9" t="s">
        <v>34</v>
      </c>
      <c r="H11" s="9" t="s">
        <v>32</v>
      </c>
      <c r="I11" s="9" t="s">
        <v>170</v>
      </c>
      <c r="J11" s="9" t="s">
        <v>135</v>
      </c>
      <c r="K11" s="9"/>
      <c r="L11" s="9"/>
      <c r="M11" s="9"/>
      <c r="N11" s="9"/>
      <c r="O11" s="9" t="s">
        <v>35</v>
      </c>
      <c r="P11" s="9">
        <v>6000</v>
      </c>
      <c r="Q11" s="10">
        <v>12000</v>
      </c>
      <c r="R11" s="11">
        <v>45529</v>
      </c>
      <c r="S11" s="11">
        <v>45550</v>
      </c>
      <c r="T11" s="46">
        <v>45552</v>
      </c>
      <c r="U11" s="69">
        <f t="shared" si="0"/>
        <v>1</v>
      </c>
      <c r="V11" s="69" t="str">
        <f t="shared" si="1"/>
        <v>في الموعد</v>
      </c>
      <c r="W11" s="57">
        <f t="shared" si="2"/>
        <v>23</v>
      </c>
      <c r="X11" s="9" t="s">
        <v>267</v>
      </c>
      <c r="Y11" s="40" t="s">
        <v>165</v>
      </c>
    </row>
    <row r="12" spans="1:25" ht="20.100000000000001" customHeight="1" x14ac:dyDescent="0.3">
      <c r="A12" s="9">
        <v>12</v>
      </c>
      <c r="B12" s="16"/>
      <c r="C12" s="16">
        <v>2514</v>
      </c>
      <c r="D12" s="9" t="s">
        <v>30</v>
      </c>
      <c r="E12" s="9" t="s">
        <v>331</v>
      </c>
      <c r="F12" s="9" t="s">
        <v>34</v>
      </c>
      <c r="G12" s="9" t="s">
        <v>34</v>
      </c>
      <c r="H12" s="9" t="s">
        <v>32</v>
      </c>
      <c r="I12" s="9" t="s">
        <v>170</v>
      </c>
      <c r="J12" s="9" t="s">
        <v>135</v>
      </c>
      <c r="K12" s="9"/>
      <c r="L12" s="9"/>
      <c r="M12" s="9"/>
      <c r="N12" s="9"/>
      <c r="O12" s="9" t="s">
        <v>35</v>
      </c>
      <c r="P12" s="9">
        <v>6000</v>
      </c>
      <c r="Q12" s="10">
        <v>12000</v>
      </c>
      <c r="R12" s="11">
        <v>45529</v>
      </c>
      <c r="S12" s="11">
        <v>45550</v>
      </c>
      <c r="T12" s="46">
        <v>45552</v>
      </c>
      <c r="U12" s="69">
        <f t="shared" si="0"/>
        <v>1</v>
      </c>
      <c r="V12" s="69" t="str">
        <f t="shared" si="1"/>
        <v>في الموعد</v>
      </c>
      <c r="W12" s="57">
        <f t="shared" si="2"/>
        <v>23</v>
      </c>
      <c r="X12" s="9" t="s">
        <v>267</v>
      </c>
      <c r="Y12" s="40" t="s">
        <v>165</v>
      </c>
    </row>
    <row r="13" spans="1:25" ht="20.100000000000001" customHeight="1" x14ac:dyDescent="0.3">
      <c r="A13" s="9">
        <v>13</v>
      </c>
      <c r="B13" s="16"/>
      <c r="C13" s="16"/>
      <c r="D13" s="9" t="s">
        <v>36</v>
      </c>
      <c r="E13" s="9" t="s">
        <v>330</v>
      </c>
      <c r="F13" s="9" t="s">
        <v>37</v>
      </c>
      <c r="G13" s="40" t="s">
        <v>37</v>
      </c>
      <c r="H13" s="40" t="s">
        <v>342</v>
      </c>
      <c r="I13" s="9" t="s">
        <v>127</v>
      </c>
      <c r="J13" s="9" t="s">
        <v>139</v>
      </c>
      <c r="K13" s="9" t="s">
        <v>129</v>
      </c>
      <c r="L13" s="9">
        <v>80</v>
      </c>
      <c r="M13" s="9" t="s">
        <v>140</v>
      </c>
      <c r="N13" s="9" t="s">
        <v>140</v>
      </c>
      <c r="O13" s="9" t="s">
        <v>38</v>
      </c>
      <c r="P13" s="9">
        <v>10499</v>
      </c>
      <c r="Q13" s="10">
        <v>8924</v>
      </c>
      <c r="R13" s="11">
        <v>45536</v>
      </c>
      <c r="S13" s="11">
        <v>45551</v>
      </c>
      <c r="T13" s="11">
        <v>45543</v>
      </c>
      <c r="U13" s="69">
        <f t="shared" si="0"/>
        <v>0</v>
      </c>
      <c r="V13" s="69" t="str">
        <f t="shared" si="1"/>
        <v>متاخر</v>
      </c>
      <c r="W13" s="57">
        <f t="shared" si="2"/>
        <v>7</v>
      </c>
      <c r="X13" s="40" t="s">
        <v>20</v>
      </c>
      <c r="Y13" s="40" t="s">
        <v>165</v>
      </c>
    </row>
    <row r="14" spans="1:25" ht="20.100000000000001" customHeight="1" x14ac:dyDescent="0.3">
      <c r="A14" s="5">
        <v>14</v>
      </c>
      <c r="B14" s="49">
        <v>1404561</v>
      </c>
      <c r="C14" s="49">
        <v>1199284</v>
      </c>
      <c r="D14" s="5" t="s">
        <v>50</v>
      </c>
      <c r="E14" s="5" t="s">
        <v>330</v>
      </c>
      <c r="F14" s="5" t="s">
        <v>28</v>
      </c>
      <c r="G14" s="5" t="s">
        <v>361</v>
      </c>
      <c r="H14" s="5" t="s">
        <v>342</v>
      </c>
      <c r="I14" s="5" t="s">
        <v>127</v>
      </c>
      <c r="J14" s="5" t="s">
        <v>130</v>
      </c>
      <c r="K14" s="5" t="s">
        <v>129</v>
      </c>
      <c r="L14" s="5">
        <v>80</v>
      </c>
      <c r="M14" s="5" t="s">
        <v>140</v>
      </c>
      <c r="N14" s="5" t="s">
        <v>140</v>
      </c>
      <c r="O14" s="35" t="s">
        <v>51</v>
      </c>
      <c r="P14" s="5">
        <v>7295</v>
      </c>
      <c r="Q14" s="7">
        <v>5895</v>
      </c>
      <c r="R14" s="8">
        <v>45540</v>
      </c>
      <c r="S14" s="8">
        <v>45549</v>
      </c>
      <c r="T14" s="8"/>
      <c r="U14" s="8"/>
      <c r="V14" s="8"/>
      <c r="W14" s="7"/>
      <c r="X14" s="5" t="s">
        <v>268</v>
      </c>
      <c r="Y14" s="6" t="s">
        <v>266</v>
      </c>
    </row>
    <row r="15" spans="1:25" ht="20.100000000000001" customHeight="1" x14ac:dyDescent="0.3">
      <c r="A15" s="6">
        <v>15</v>
      </c>
      <c r="B15" s="50">
        <v>1401137</v>
      </c>
      <c r="C15" s="50">
        <v>1197500</v>
      </c>
      <c r="D15" s="6" t="s">
        <v>46</v>
      </c>
      <c r="E15" s="6" t="s">
        <v>330</v>
      </c>
      <c r="F15" s="6" t="s">
        <v>47</v>
      </c>
      <c r="G15" s="6" t="s">
        <v>311</v>
      </c>
      <c r="H15" s="6" t="s">
        <v>342</v>
      </c>
      <c r="I15" s="6" t="s">
        <v>230</v>
      </c>
      <c r="J15" s="6" t="s">
        <v>160</v>
      </c>
      <c r="K15" s="6"/>
      <c r="L15" s="6"/>
      <c r="M15" s="6"/>
      <c r="N15" s="6"/>
      <c r="O15" s="36" t="s">
        <v>48</v>
      </c>
      <c r="P15" s="6">
        <v>7849</v>
      </c>
      <c r="Q15" s="14" t="s">
        <v>12</v>
      </c>
      <c r="R15" s="15">
        <v>45539</v>
      </c>
      <c r="S15" s="15">
        <v>45551</v>
      </c>
      <c r="T15" s="15">
        <v>45560</v>
      </c>
      <c r="U15" s="69">
        <f>IF(S15&lt;=T15,1,0)</f>
        <v>1</v>
      </c>
      <c r="V15" s="69" t="str">
        <f>IF(U15=0,"متاخر","في الموعد")</f>
        <v>في الموعد</v>
      </c>
      <c r="W15" s="57">
        <f>T15-R15</f>
        <v>21</v>
      </c>
      <c r="X15" s="6" t="s">
        <v>20</v>
      </c>
      <c r="Y15" s="6" t="s">
        <v>266</v>
      </c>
    </row>
    <row r="16" spans="1:25" ht="20.100000000000001" customHeight="1" x14ac:dyDescent="0.3">
      <c r="A16" s="40">
        <v>16</v>
      </c>
      <c r="B16" s="16"/>
      <c r="C16" s="16"/>
      <c r="D16" s="40" t="s">
        <v>40</v>
      </c>
      <c r="E16" s="40" t="s">
        <v>330</v>
      </c>
      <c r="F16" s="40" t="s">
        <v>41</v>
      </c>
      <c r="G16" s="40" t="s">
        <v>25</v>
      </c>
      <c r="H16" s="64" t="s">
        <v>344</v>
      </c>
      <c r="I16" s="32" t="s">
        <v>127</v>
      </c>
      <c r="J16" s="40" t="s">
        <v>139</v>
      </c>
      <c r="K16" s="9" t="s">
        <v>132</v>
      </c>
      <c r="L16" s="9">
        <v>120</v>
      </c>
      <c r="M16" s="9" t="s">
        <v>171</v>
      </c>
      <c r="N16" s="9" t="s">
        <v>141</v>
      </c>
      <c r="O16" s="9" t="s">
        <v>42</v>
      </c>
      <c r="P16" s="9">
        <v>6180</v>
      </c>
      <c r="Q16" s="44">
        <v>9700</v>
      </c>
      <c r="R16" s="46">
        <v>45538</v>
      </c>
      <c r="S16" s="46">
        <v>45551</v>
      </c>
      <c r="T16" s="46">
        <v>45550</v>
      </c>
      <c r="U16" s="69">
        <f>IF(S16&lt;=T16,1,0)</f>
        <v>0</v>
      </c>
      <c r="V16" s="69" t="str">
        <f>IF(U16=0,"متاخر","في الموعد")</f>
        <v>متاخر</v>
      </c>
      <c r="W16" s="57">
        <f>T16-R16</f>
        <v>12</v>
      </c>
      <c r="X16" s="9" t="s">
        <v>267</v>
      </c>
      <c r="Y16" s="40" t="s">
        <v>165</v>
      </c>
    </row>
    <row r="17" spans="1:25" ht="20.100000000000001" customHeight="1" x14ac:dyDescent="0.3">
      <c r="A17" s="9">
        <v>17</v>
      </c>
      <c r="B17" s="16"/>
      <c r="C17" s="16"/>
      <c r="D17" s="9" t="s">
        <v>40</v>
      </c>
      <c r="E17" s="9" t="s">
        <v>330</v>
      </c>
      <c r="F17" s="9" t="s">
        <v>41</v>
      </c>
      <c r="G17" s="9" t="s">
        <v>25</v>
      </c>
      <c r="H17" s="9" t="s">
        <v>344</v>
      </c>
      <c r="I17" s="9" t="s">
        <v>127</v>
      </c>
      <c r="J17" s="9" t="s">
        <v>139</v>
      </c>
      <c r="K17" s="9" t="s">
        <v>132</v>
      </c>
      <c r="L17" s="9">
        <v>120</v>
      </c>
      <c r="M17" s="9" t="s">
        <v>171</v>
      </c>
      <c r="N17" s="9" t="s">
        <v>141</v>
      </c>
      <c r="O17" s="9" t="s">
        <v>42</v>
      </c>
      <c r="P17" s="9">
        <v>6180</v>
      </c>
      <c r="Q17" s="10">
        <v>9700</v>
      </c>
      <c r="R17" s="11">
        <v>45538</v>
      </c>
      <c r="S17" s="11">
        <v>45551</v>
      </c>
      <c r="T17" s="46">
        <v>45550</v>
      </c>
      <c r="U17" s="69">
        <f>IF(S17&lt;=T17,1,0)</f>
        <v>0</v>
      </c>
      <c r="V17" s="69" t="str">
        <f>IF(U17=0,"متاخر","في الموعد")</f>
        <v>متاخر</v>
      </c>
      <c r="W17" s="57">
        <f>T17-R17</f>
        <v>12</v>
      </c>
      <c r="X17" s="9" t="s">
        <v>267</v>
      </c>
      <c r="Y17" s="40" t="s">
        <v>165</v>
      </c>
    </row>
    <row r="18" spans="1:25" ht="20.100000000000001" customHeight="1" x14ac:dyDescent="0.3">
      <c r="A18" s="5">
        <v>18</v>
      </c>
      <c r="B18" s="49">
        <v>1400149</v>
      </c>
      <c r="C18" s="49">
        <v>1196947</v>
      </c>
      <c r="D18" s="5" t="s">
        <v>43</v>
      </c>
      <c r="E18" s="5" t="s">
        <v>331</v>
      </c>
      <c r="F18" s="5" t="s">
        <v>44</v>
      </c>
      <c r="G18" s="5" t="s">
        <v>317</v>
      </c>
      <c r="H18" s="5" t="s">
        <v>342</v>
      </c>
      <c r="I18" s="5" t="s">
        <v>127</v>
      </c>
      <c r="J18" s="5" t="s">
        <v>139</v>
      </c>
      <c r="K18" s="5" t="s">
        <v>131</v>
      </c>
      <c r="L18" s="5">
        <v>80</v>
      </c>
      <c r="M18" s="5" t="s">
        <v>140</v>
      </c>
      <c r="N18" s="5" t="s">
        <v>140</v>
      </c>
      <c r="O18" s="5" t="s">
        <v>45</v>
      </c>
      <c r="P18" s="5">
        <v>11199</v>
      </c>
      <c r="Q18" s="7">
        <v>11310</v>
      </c>
      <c r="R18" s="8">
        <v>45539</v>
      </c>
      <c r="S18" s="8">
        <v>45553</v>
      </c>
      <c r="T18" s="8"/>
      <c r="U18" s="8"/>
      <c r="V18" s="8"/>
      <c r="W18" s="7"/>
      <c r="X18" s="5" t="s">
        <v>268</v>
      </c>
      <c r="Y18" s="6" t="s">
        <v>266</v>
      </c>
    </row>
    <row r="19" spans="1:25" ht="20.100000000000001" customHeight="1" x14ac:dyDescent="0.3">
      <c r="A19" s="9">
        <v>19</v>
      </c>
      <c r="B19" s="53">
        <v>1408099</v>
      </c>
      <c r="C19" s="53">
        <v>1201057</v>
      </c>
      <c r="D19" s="9" t="s">
        <v>24</v>
      </c>
      <c r="E19" s="9" t="s">
        <v>330</v>
      </c>
      <c r="F19" s="9" t="s">
        <v>52</v>
      </c>
      <c r="G19" s="40" t="s">
        <v>52</v>
      </c>
      <c r="H19" s="40" t="s">
        <v>342</v>
      </c>
      <c r="I19" s="9" t="s">
        <v>127</v>
      </c>
      <c r="J19" s="9" t="s">
        <v>130</v>
      </c>
      <c r="K19" s="9" t="s">
        <v>150</v>
      </c>
      <c r="L19" s="9">
        <v>80</v>
      </c>
      <c r="M19" s="9" t="s">
        <v>140</v>
      </c>
      <c r="N19" s="9" t="s">
        <v>140</v>
      </c>
      <c r="O19" s="37" t="s">
        <v>53</v>
      </c>
      <c r="P19" s="9">
        <v>7987</v>
      </c>
      <c r="Q19" s="10" t="s">
        <v>12</v>
      </c>
      <c r="R19" s="11">
        <v>45541</v>
      </c>
      <c r="S19" s="11">
        <v>45551</v>
      </c>
      <c r="T19" s="11">
        <v>45556</v>
      </c>
      <c r="U19" s="69">
        <f>IF(S19&lt;=T19,1,0)</f>
        <v>1</v>
      </c>
      <c r="V19" s="69" t="str">
        <f>IF(U19=0,"متاخر","في الموعد")</f>
        <v>في الموعد</v>
      </c>
      <c r="W19" s="57">
        <f>T19-R19</f>
        <v>15</v>
      </c>
      <c r="X19" s="9" t="s">
        <v>267</v>
      </c>
      <c r="Y19" s="40" t="s">
        <v>165</v>
      </c>
    </row>
    <row r="20" spans="1:25" ht="20.100000000000001" customHeight="1" x14ac:dyDescent="0.3">
      <c r="A20" s="40">
        <v>20</v>
      </c>
      <c r="B20" s="16"/>
      <c r="C20" s="16">
        <v>2514</v>
      </c>
      <c r="D20" s="40" t="s">
        <v>32</v>
      </c>
      <c r="E20" s="40" t="s">
        <v>331</v>
      </c>
      <c r="F20" s="40" t="s">
        <v>31</v>
      </c>
      <c r="G20" s="40" t="s">
        <v>34</v>
      </c>
      <c r="H20" s="40" t="s">
        <v>32</v>
      </c>
      <c r="I20" s="40" t="s">
        <v>137</v>
      </c>
      <c r="J20" s="9" t="s">
        <v>177</v>
      </c>
      <c r="K20" s="40"/>
      <c r="L20" s="40"/>
      <c r="M20" s="40"/>
      <c r="N20" s="40"/>
      <c r="O20" s="9" t="s">
        <v>49</v>
      </c>
      <c r="P20" s="40">
        <v>9300</v>
      </c>
      <c r="Q20" s="44">
        <v>9300</v>
      </c>
      <c r="R20" s="46">
        <v>45539</v>
      </c>
      <c r="S20" s="46">
        <v>45550</v>
      </c>
      <c r="T20" s="46">
        <v>45552</v>
      </c>
      <c r="U20" s="69">
        <f>IF(S20&lt;=T20,1,0)</f>
        <v>1</v>
      </c>
      <c r="V20" s="69" t="str">
        <f>IF(U20=0,"متاخر","في الموعد")</f>
        <v>في الموعد</v>
      </c>
      <c r="W20" s="57">
        <f>T20-R20</f>
        <v>13</v>
      </c>
      <c r="X20" s="9" t="s">
        <v>267</v>
      </c>
      <c r="Y20" s="40" t="s">
        <v>165</v>
      </c>
    </row>
    <row r="21" spans="1:25" ht="20.100000000000001" customHeight="1" x14ac:dyDescent="0.3">
      <c r="A21" s="9">
        <v>21</v>
      </c>
      <c r="B21" s="53">
        <v>1408098</v>
      </c>
      <c r="C21" s="53">
        <v>1201057</v>
      </c>
      <c r="D21" s="9" t="s">
        <v>24</v>
      </c>
      <c r="E21" s="9" t="s">
        <v>330</v>
      </c>
      <c r="F21" s="9" t="s">
        <v>52</v>
      </c>
      <c r="G21" s="40" t="s">
        <v>52</v>
      </c>
      <c r="H21" s="40" t="s">
        <v>342</v>
      </c>
      <c r="I21" s="9" t="s">
        <v>127</v>
      </c>
      <c r="J21" s="9" t="s">
        <v>130</v>
      </c>
      <c r="K21" s="9" t="s">
        <v>150</v>
      </c>
      <c r="L21" s="9">
        <v>80</v>
      </c>
      <c r="M21" s="9" t="s">
        <v>140</v>
      </c>
      <c r="N21" s="9" t="s">
        <v>140</v>
      </c>
      <c r="O21" s="37" t="s">
        <v>53</v>
      </c>
      <c r="P21" s="9">
        <v>7987</v>
      </c>
      <c r="Q21" s="10" t="s">
        <v>12</v>
      </c>
      <c r="R21" s="11">
        <v>45541</v>
      </c>
      <c r="S21" s="11">
        <v>45551</v>
      </c>
      <c r="T21" s="11">
        <v>45556</v>
      </c>
      <c r="U21" s="69">
        <f>IF(S21&lt;=T21,1,0)</f>
        <v>1</v>
      </c>
      <c r="V21" s="69" t="str">
        <f>IF(U21=0,"متاخر","في الموعد")</f>
        <v>في الموعد</v>
      </c>
      <c r="W21" s="57">
        <f>T21-R21</f>
        <v>15</v>
      </c>
      <c r="X21" s="9" t="s">
        <v>267</v>
      </c>
      <c r="Y21" s="40" t="s">
        <v>165</v>
      </c>
    </row>
    <row r="22" spans="1:25" ht="20.100000000000001" customHeight="1" x14ac:dyDescent="0.3">
      <c r="A22" s="9">
        <v>22</v>
      </c>
      <c r="B22" s="53">
        <v>1408100</v>
      </c>
      <c r="C22" s="53">
        <v>1201057</v>
      </c>
      <c r="D22" s="9" t="s">
        <v>24</v>
      </c>
      <c r="E22" s="9" t="s">
        <v>330</v>
      </c>
      <c r="F22" s="9" t="s">
        <v>52</v>
      </c>
      <c r="G22" s="40" t="s">
        <v>52</v>
      </c>
      <c r="H22" s="40" t="s">
        <v>342</v>
      </c>
      <c r="I22" s="9" t="s">
        <v>127</v>
      </c>
      <c r="J22" s="9" t="s">
        <v>130</v>
      </c>
      <c r="K22" s="9" t="s">
        <v>150</v>
      </c>
      <c r="L22" s="9">
        <v>80</v>
      </c>
      <c r="M22" s="9" t="s">
        <v>140</v>
      </c>
      <c r="N22" s="9" t="s">
        <v>140</v>
      </c>
      <c r="O22" s="37" t="s">
        <v>53</v>
      </c>
      <c r="P22" s="9">
        <v>7987</v>
      </c>
      <c r="Q22" s="10" t="s">
        <v>12</v>
      </c>
      <c r="R22" s="11">
        <v>45541</v>
      </c>
      <c r="S22" s="11">
        <v>45551</v>
      </c>
      <c r="T22" s="11">
        <v>45556</v>
      </c>
      <c r="U22" s="69">
        <f>IF(S22&lt;=T22,1,0)</f>
        <v>1</v>
      </c>
      <c r="V22" s="69" t="str">
        <f>IF(U22=0,"متاخر","في الموعد")</f>
        <v>في الموعد</v>
      </c>
      <c r="W22" s="57">
        <f>T22-R22</f>
        <v>15</v>
      </c>
      <c r="X22" s="9" t="s">
        <v>267</v>
      </c>
      <c r="Y22" s="40" t="s">
        <v>165</v>
      </c>
    </row>
    <row r="23" spans="1:25" ht="20.100000000000001" customHeight="1" x14ac:dyDescent="0.3">
      <c r="A23" s="9">
        <v>23</v>
      </c>
      <c r="B23" s="53">
        <v>1408101</v>
      </c>
      <c r="C23" s="53">
        <v>1201057</v>
      </c>
      <c r="D23" s="9" t="s">
        <v>24</v>
      </c>
      <c r="E23" s="9" t="s">
        <v>330</v>
      </c>
      <c r="F23" s="9" t="s">
        <v>52</v>
      </c>
      <c r="G23" s="40" t="s">
        <v>52</v>
      </c>
      <c r="H23" s="40" t="s">
        <v>342</v>
      </c>
      <c r="I23" s="9" t="s">
        <v>127</v>
      </c>
      <c r="J23" s="9" t="s">
        <v>130</v>
      </c>
      <c r="K23" s="9" t="s">
        <v>150</v>
      </c>
      <c r="L23" s="9">
        <v>80</v>
      </c>
      <c r="M23" s="9" t="s">
        <v>140</v>
      </c>
      <c r="N23" s="9" t="s">
        <v>140</v>
      </c>
      <c r="O23" s="37" t="s">
        <v>53</v>
      </c>
      <c r="P23" s="9">
        <v>7987</v>
      </c>
      <c r="Q23" s="10" t="s">
        <v>12</v>
      </c>
      <c r="R23" s="11">
        <v>45541</v>
      </c>
      <c r="S23" s="11">
        <v>45551</v>
      </c>
      <c r="T23" s="11">
        <v>45556</v>
      </c>
      <c r="U23" s="69">
        <f>IF(S23&lt;=T23,1,0)</f>
        <v>1</v>
      </c>
      <c r="V23" s="69" t="str">
        <f>IF(U23=0,"متاخر","في الموعد")</f>
        <v>في الموعد</v>
      </c>
      <c r="W23" s="57">
        <f>T23-R23</f>
        <v>15</v>
      </c>
      <c r="X23" s="9" t="s">
        <v>267</v>
      </c>
      <c r="Y23" s="40" t="s">
        <v>165</v>
      </c>
    </row>
    <row r="24" spans="1:25" ht="20.100000000000001" customHeight="1" x14ac:dyDescent="0.3">
      <c r="A24" s="5">
        <v>24</v>
      </c>
      <c r="B24" s="49">
        <v>1513856</v>
      </c>
      <c r="C24" s="49">
        <v>1231946</v>
      </c>
      <c r="D24" s="12" t="s">
        <v>88</v>
      </c>
      <c r="E24" s="12" t="s">
        <v>330</v>
      </c>
      <c r="F24" s="12" t="s">
        <v>89</v>
      </c>
      <c r="G24" s="5" t="s">
        <v>326</v>
      </c>
      <c r="H24" s="5" t="s">
        <v>342</v>
      </c>
      <c r="I24" s="12" t="s">
        <v>230</v>
      </c>
      <c r="J24" s="12" t="s">
        <v>160</v>
      </c>
      <c r="K24" s="12"/>
      <c r="L24" s="12"/>
      <c r="M24" s="12"/>
      <c r="N24" s="12"/>
      <c r="O24" s="35" t="s">
        <v>48</v>
      </c>
      <c r="P24" s="12">
        <v>8849</v>
      </c>
      <c r="Q24" s="21" t="s">
        <v>12</v>
      </c>
      <c r="R24" s="13">
        <v>45538</v>
      </c>
      <c r="S24" s="13">
        <v>45581</v>
      </c>
      <c r="T24" s="13"/>
      <c r="U24" s="13"/>
      <c r="V24" s="13"/>
      <c r="W24" s="21"/>
      <c r="X24" s="12" t="s">
        <v>268</v>
      </c>
      <c r="Y24" s="6" t="s">
        <v>266</v>
      </c>
    </row>
    <row r="25" spans="1:25" ht="20.100000000000001" customHeight="1" x14ac:dyDescent="0.3">
      <c r="A25" s="9">
        <v>25</v>
      </c>
      <c r="B25" s="53">
        <v>1411691</v>
      </c>
      <c r="C25" s="53">
        <v>1202775</v>
      </c>
      <c r="D25" s="9" t="s">
        <v>54</v>
      </c>
      <c r="E25" s="9" t="s">
        <v>330</v>
      </c>
      <c r="F25" s="9" t="s">
        <v>28</v>
      </c>
      <c r="G25" s="40" t="s">
        <v>361</v>
      </c>
      <c r="H25" s="40" t="s">
        <v>342</v>
      </c>
      <c r="I25" s="9" t="s">
        <v>127</v>
      </c>
      <c r="J25" s="9" t="s">
        <v>130</v>
      </c>
      <c r="K25" s="9" t="s">
        <v>133</v>
      </c>
      <c r="L25" s="9">
        <v>120</v>
      </c>
      <c r="M25" s="9" t="s">
        <v>140</v>
      </c>
      <c r="N25" s="9" t="s">
        <v>140</v>
      </c>
      <c r="O25" s="37" t="s">
        <v>55</v>
      </c>
      <c r="P25" s="9">
        <v>10987</v>
      </c>
      <c r="Q25" s="10" t="s">
        <v>12</v>
      </c>
      <c r="R25" s="11">
        <v>45544</v>
      </c>
      <c r="S25" s="11">
        <v>45552</v>
      </c>
      <c r="T25" s="11">
        <v>45556</v>
      </c>
      <c r="U25" s="69">
        <f t="shared" ref="U25:U31" si="3">IF(S25&lt;=T25,1,0)</f>
        <v>1</v>
      </c>
      <c r="V25" s="69" t="str">
        <f t="shared" ref="V25:V31" si="4">IF(U25=0,"متاخر","في الموعد")</f>
        <v>في الموعد</v>
      </c>
      <c r="W25" s="57">
        <f t="shared" ref="W25:W33" si="5">T25-R25</f>
        <v>12</v>
      </c>
      <c r="X25" s="9" t="s">
        <v>267</v>
      </c>
      <c r="Y25" s="40" t="s">
        <v>165</v>
      </c>
    </row>
    <row r="26" spans="1:25" ht="20.100000000000001" customHeight="1" x14ac:dyDescent="0.3">
      <c r="A26" s="9">
        <v>26</v>
      </c>
      <c r="B26" s="16"/>
      <c r="C26" s="16"/>
      <c r="D26" s="9" t="s">
        <v>22</v>
      </c>
      <c r="E26" s="9" t="s">
        <v>331</v>
      </c>
      <c r="F26" s="9"/>
      <c r="G26" s="9" t="s">
        <v>361</v>
      </c>
      <c r="H26" s="9" t="s">
        <v>22</v>
      </c>
      <c r="I26" s="9" t="s">
        <v>127</v>
      </c>
      <c r="J26" s="9" t="s">
        <v>139</v>
      </c>
      <c r="K26" s="9" t="s">
        <v>131</v>
      </c>
      <c r="L26" s="9">
        <v>100</v>
      </c>
      <c r="M26" s="9" t="s">
        <v>140</v>
      </c>
      <c r="N26" s="9" t="s">
        <v>140</v>
      </c>
      <c r="O26" s="37" t="s">
        <v>277</v>
      </c>
      <c r="P26" s="9">
        <v>9208</v>
      </c>
      <c r="Q26" s="10">
        <v>5781.75</v>
      </c>
      <c r="R26" s="11">
        <v>45536</v>
      </c>
      <c r="S26" s="11">
        <v>45554</v>
      </c>
      <c r="T26" s="11">
        <v>45556</v>
      </c>
      <c r="U26" s="69">
        <f t="shared" si="3"/>
        <v>1</v>
      </c>
      <c r="V26" s="69" t="str">
        <f t="shared" si="4"/>
        <v>في الموعد</v>
      </c>
      <c r="W26" s="57">
        <f t="shared" si="5"/>
        <v>20</v>
      </c>
      <c r="X26" s="9" t="s">
        <v>267</v>
      </c>
      <c r="Y26" s="40" t="s">
        <v>165</v>
      </c>
    </row>
    <row r="27" spans="1:25" ht="20.100000000000001" customHeight="1" x14ac:dyDescent="0.3">
      <c r="A27" s="9">
        <v>27</v>
      </c>
      <c r="B27" s="16"/>
      <c r="C27" s="16"/>
      <c r="D27" s="9" t="s">
        <v>22</v>
      </c>
      <c r="E27" s="9" t="s">
        <v>331</v>
      </c>
      <c r="F27" s="9"/>
      <c r="G27" s="9" t="s">
        <v>361</v>
      </c>
      <c r="H27" s="9" t="s">
        <v>22</v>
      </c>
      <c r="I27" s="9" t="s">
        <v>127</v>
      </c>
      <c r="J27" s="9" t="s">
        <v>139</v>
      </c>
      <c r="K27" s="9" t="s">
        <v>131</v>
      </c>
      <c r="L27" s="9">
        <v>100</v>
      </c>
      <c r="M27" s="9" t="s">
        <v>171</v>
      </c>
      <c r="N27" s="9" t="s">
        <v>141</v>
      </c>
      <c r="O27" s="37" t="s">
        <v>278</v>
      </c>
      <c r="P27" s="9">
        <v>9208</v>
      </c>
      <c r="Q27" s="10">
        <v>1278.53</v>
      </c>
      <c r="R27" s="11">
        <v>45536</v>
      </c>
      <c r="S27" s="11">
        <v>45554</v>
      </c>
      <c r="T27" s="11">
        <v>45556</v>
      </c>
      <c r="U27" s="69">
        <f t="shared" si="3"/>
        <v>1</v>
      </c>
      <c r="V27" s="69" t="str">
        <f t="shared" si="4"/>
        <v>في الموعد</v>
      </c>
      <c r="W27" s="57">
        <f t="shared" si="5"/>
        <v>20</v>
      </c>
      <c r="X27" s="9" t="s">
        <v>267</v>
      </c>
      <c r="Y27" s="40" t="s">
        <v>165</v>
      </c>
    </row>
    <row r="28" spans="1:25" ht="20.100000000000001" customHeight="1" x14ac:dyDescent="0.3">
      <c r="A28" s="9">
        <v>28</v>
      </c>
      <c r="B28" s="16"/>
      <c r="C28" s="16"/>
      <c r="D28" s="9" t="s">
        <v>67</v>
      </c>
      <c r="E28" s="9" t="s">
        <v>331</v>
      </c>
      <c r="F28" s="9" t="s">
        <v>68</v>
      </c>
      <c r="G28" s="9" t="s">
        <v>325</v>
      </c>
      <c r="H28" s="9" t="s">
        <v>344</v>
      </c>
      <c r="I28" s="9" t="s">
        <v>127</v>
      </c>
      <c r="J28" s="9" t="s">
        <v>130</v>
      </c>
      <c r="K28" s="9" t="s">
        <v>150</v>
      </c>
      <c r="L28" s="9">
        <v>120</v>
      </c>
      <c r="M28" s="9" t="s">
        <v>140</v>
      </c>
      <c r="N28" s="9" t="s">
        <v>140</v>
      </c>
      <c r="O28" s="9" t="s">
        <v>71</v>
      </c>
      <c r="P28" s="9">
        <v>4020</v>
      </c>
      <c r="Q28" s="10" t="s">
        <v>69</v>
      </c>
      <c r="R28" s="11">
        <v>45547</v>
      </c>
      <c r="S28" s="11">
        <v>45556</v>
      </c>
      <c r="T28" s="11">
        <v>45557</v>
      </c>
      <c r="U28" s="69">
        <f t="shared" si="3"/>
        <v>1</v>
      </c>
      <c r="V28" s="69" t="str">
        <f t="shared" si="4"/>
        <v>في الموعد</v>
      </c>
      <c r="W28" s="57">
        <f t="shared" si="5"/>
        <v>10</v>
      </c>
      <c r="X28" s="9" t="s">
        <v>267</v>
      </c>
      <c r="Y28" s="40" t="s">
        <v>165</v>
      </c>
    </row>
    <row r="29" spans="1:25" ht="20.100000000000001" customHeight="1" x14ac:dyDescent="0.3">
      <c r="A29" s="9">
        <v>29</v>
      </c>
      <c r="B29" s="16"/>
      <c r="C29" s="16"/>
      <c r="D29" s="9" t="s">
        <v>67</v>
      </c>
      <c r="E29" s="9" t="s">
        <v>331</v>
      </c>
      <c r="F29" s="9" t="s">
        <v>68</v>
      </c>
      <c r="G29" s="9" t="s">
        <v>325</v>
      </c>
      <c r="H29" s="9" t="s">
        <v>344</v>
      </c>
      <c r="I29" s="9" t="s">
        <v>127</v>
      </c>
      <c r="J29" s="9" t="s">
        <v>130</v>
      </c>
      <c r="K29" s="9" t="s">
        <v>150</v>
      </c>
      <c r="L29" s="9">
        <v>120</v>
      </c>
      <c r="M29" s="9" t="s">
        <v>140</v>
      </c>
      <c r="N29" s="9" t="s">
        <v>140</v>
      </c>
      <c r="O29" s="9" t="s">
        <v>71</v>
      </c>
      <c r="P29" s="9">
        <v>4020</v>
      </c>
      <c r="Q29" s="10" t="s">
        <v>69</v>
      </c>
      <c r="R29" s="11">
        <v>45547</v>
      </c>
      <c r="S29" s="11">
        <v>45556</v>
      </c>
      <c r="T29" s="11">
        <v>45557</v>
      </c>
      <c r="U29" s="69">
        <f t="shared" si="3"/>
        <v>1</v>
      </c>
      <c r="V29" s="69" t="str">
        <f t="shared" si="4"/>
        <v>في الموعد</v>
      </c>
      <c r="W29" s="57">
        <f t="shared" si="5"/>
        <v>10</v>
      </c>
      <c r="X29" s="9" t="s">
        <v>267</v>
      </c>
      <c r="Y29" s="40" t="s">
        <v>165</v>
      </c>
    </row>
    <row r="30" spans="1:25" ht="20.100000000000001" customHeight="1" x14ac:dyDescent="0.3">
      <c r="A30" s="9">
        <v>30</v>
      </c>
      <c r="B30" s="16"/>
      <c r="C30" s="16"/>
      <c r="D30" s="9" t="s">
        <v>67</v>
      </c>
      <c r="E30" s="9" t="s">
        <v>331</v>
      </c>
      <c r="F30" s="9" t="s">
        <v>68</v>
      </c>
      <c r="G30" s="9" t="s">
        <v>325</v>
      </c>
      <c r="H30" s="9" t="s">
        <v>344</v>
      </c>
      <c r="I30" s="9" t="s">
        <v>127</v>
      </c>
      <c r="J30" s="9" t="s">
        <v>130</v>
      </c>
      <c r="K30" s="9" t="s">
        <v>142</v>
      </c>
      <c r="L30" s="9">
        <v>120</v>
      </c>
      <c r="M30" s="9" t="s">
        <v>171</v>
      </c>
      <c r="N30" s="9" t="s">
        <v>141</v>
      </c>
      <c r="O30" s="9" t="s">
        <v>70</v>
      </c>
      <c r="P30" s="9">
        <v>4020</v>
      </c>
      <c r="Q30" s="10" t="s">
        <v>96</v>
      </c>
      <c r="R30" s="11">
        <v>45547</v>
      </c>
      <c r="S30" s="11">
        <v>45556</v>
      </c>
      <c r="T30" s="11">
        <v>45557</v>
      </c>
      <c r="U30" s="69">
        <f t="shared" si="3"/>
        <v>1</v>
      </c>
      <c r="V30" s="69" t="str">
        <f t="shared" si="4"/>
        <v>في الموعد</v>
      </c>
      <c r="W30" s="57">
        <f t="shared" si="5"/>
        <v>10</v>
      </c>
      <c r="X30" s="9" t="s">
        <v>267</v>
      </c>
      <c r="Y30" s="40" t="s">
        <v>165</v>
      </c>
    </row>
    <row r="31" spans="1:25" ht="20.100000000000001" customHeight="1" x14ac:dyDescent="0.3">
      <c r="A31" s="9">
        <v>31</v>
      </c>
      <c r="B31" s="16"/>
      <c r="C31" s="16"/>
      <c r="D31" s="9" t="s">
        <v>67</v>
      </c>
      <c r="E31" s="9" t="s">
        <v>331</v>
      </c>
      <c r="F31" s="9" t="s">
        <v>68</v>
      </c>
      <c r="G31" s="9" t="s">
        <v>325</v>
      </c>
      <c r="H31" s="9" t="s">
        <v>344</v>
      </c>
      <c r="I31" s="9" t="s">
        <v>127</v>
      </c>
      <c r="J31" s="9" t="s">
        <v>130</v>
      </c>
      <c r="K31" s="9" t="s">
        <v>142</v>
      </c>
      <c r="L31" s="9">
        <v>120</v>
      </c>
      <c r="M31" s="9" t="s">
        <v>171</v>
      </c>
      <c r="N31" s="9" t="s">
        <v>141</v>
      </c>
      <c r="O31" s="9" t="s">
        <v>70</v>
      </c>
      <c r="P31" s="9">
        <v>4020</v>
      </c>
      <c r="Q31" s="10" t="s">
        <v>96</v>
      </c>
      <c r="R31" s="11">
        <v>45547</v>
      </c>
      <c r="S31" s="11">
        <v>45556</v>
      </c>
      <c r="T31" s="11">
        <v>45557</v>
      </c>
      <c r="U31" s="69">
        <f t="shared" si="3"/>
        <v>1</v>
      </c>
      <c r="V31" s="69" t="str">
        <f t="shared" si="4"/>
        <v>في الموعد</v>
      </c>
      <c r="W31" s="57">
        <f t="shared" si="5"/>
        <v>10</v>
      </c>
      <c r="X31" s="9" t="s">
        <v>267</v>
      </c>
      <c r="Y31" s="40" t="s">
        <v>165</v>
      </c>
    </row>
    <row r="32" spans="1:25" ht="20.100000000000001" customHeight="1" x14ac:dyDescent="0.3">
      <c r="A32" s="6">
        <v>32</v>
      </c>
      <c r="B32" s="50">
        <v>1509211</v>
      </c>
      <c r="C32" s="50">
        <v>1230837</v>
      </c>
      <c r="D32" s="6" t="s">
        <v>122</v>
      </c>
      <c r="E32" s="6" t="s">
        <v>330</v>
      </c>
      <c r="F32" s="6" t="s">
        <v>123</v>
      </c>
      <c r="G32" s="6" t="s">
        <v>123</v>
      </c>
      <c r="H32" s="6" t="s">
        <v>342</v>
      </c>
      <c r="I32" s="6" t="s">
        <v>127</v>
      </c>
      <c r="J32" s="6" t="s">
        <v>128</v>
      </c>
      <c r="K32" s="6"/>
      <c r="L32" s="6"/>
      <c r="M32" s="9" t="s">
        <v>171</v>
      </c>
      <c r="N32" s="6" t="s">
        <v>141</v>
      </c>
      <c r="O32" s="36" t="s">
        <v>296</v>
      </c>
      <c r="P32" s="6">
        <v>9399</v>
      </c>
      <c r="Q32" s="6" t="s">
        <v>96</v>
      </c>
      <c r="R32" s="15" t="s">
        <v>308</v>
      </c>
      <c r="S32" s="15">
        <v>45557</v>
      </c>
      <c r="T32" s="6"/>
      <c r="U32" s="6"/>
      <c r="V32" s="6"/>
      <c r="W32" s="14"/>
      <c r="X32" s="6" t="s">
        <v>26</v>
      </c>
      <c r="Y32" s="6" t="s">
        <v>266</v>
      </c>
    </row>
    <row r="33" spans="1:25" ht="20.100000000000001" customHeight="1" x14ac:dyDescent="0.3">
      <c r="A33" s="9">
        <v>33</v>
      </c>
      <c r="B33" s="53">
        <v>1536687</v>
      </c>
      <c r="C33" s="53">
        <v>1237682</v>
      </c>
      <c r="D33" s="9" t="s">
        <v>124</v>
      </c>
      <c r="E33" s="9" t="s">
        <v>330</v>
      </c>
      <c r="F33" s="9" t="s">
        <v>125</v>
      </c>
      <c r="G33" s="40" t="s">
        <v>324</v>
      </c>
      <c r="H33" s="40" t="s">
        <v>342</v>
      </c>
      <c r="I33" s="9" t="s">
        <v>230</v>
      </c>
      <c r="J33" s="9" t="s">
        <v>162</v>
      </c>
      <c r="K33" s="9"/>
      <c r="L33" s="9"/>
      <c r="M33" s="9"/>
      <c r="N33" s="9"/>
      <c r="O33" s="37" t="s">
        <v>126</v>
      </c>
      <c r="P33" s="9">
        <v>8349</v>
      </c>
      <c r="Q33" s="10" t="s">
        <v>96</v>
      </c>
      <c r="R33" s="11">
        <v>45549</v>
      </c>
      <c r="S33" s="11">
        <v>45557</v>
      </c>
      <c r="T33" s="11">
        <v>45559</v>
      </c>
      <c r="U33" s="69">
        <f>IF(S33&lt;=T33,1,0)</f>
        <v>1</v>
      </c>
      <c r="V33" s="69" t="str">
        <f>IF(U33=0,"متاخر","في الموعد")</f>
        <v>في الموعد</v>
      </c>
      <c r="W33" s="57">
        <f t="shared" si="5"/>
        <v>10</v>
      </c>
      <c r="X33" s="40" t="s">
        <v>20</v>
      </c>
      <c r="Y33" s="40" t="s">
        <v>165</v>
      </c>
    </row>
    <row r="34" spans="1:25" ht="20.100000000000001" customHeight="1" x14ac:dyDescent="0.3">
      <c r="A34" s="9">
        <v>34</v>
      </c>
      <c r="B34" s="53">
        <v>1520537</v>
      </c>
      <c r="C34" s="53">
        <v>1233624</v>
      </c>
      <c r="D34" s="16" t="s">
        <v>86</v>
      </c>
      <c r="E34" s="16" t="s">
        <v>330</v>
      </c>
      <c r="F34" s="9" t="s">
        <v>28</v>
      </c>
      <c r="G34" s="40" t="s">
        <v>361</v>
      </c>
      <c r="H34" s="40" t="s">
        <v>342</v>
      </c>
      <c r="I34" s="16" t="s">
        <v>127</v>
      </c>
      <c r="J34" s="16" t="s">
        <v>128</v>
      </c>
      <c r="K34" s="16"/>
      <c r="L34" s="16"/>
      <c r="M34" s="9" t="s">
        <v>171</v>
      </c>
      <c r="N34" s="9" t="s">
        <v>141</v>
      </c>
      <c r="O34" s="38" t="s">
        <v>87</v>
      </c>
      <c r="P34" s="16">
        <v>9399</v>
      </c>
      <c r="Q34" s="17" t="s">
        <v>12</v>
      </c>
      <c r="R34" s="18">
        <v>45548</v>
      </c>
      <c r="S34" s="18">
        <v>45559</v>
      </c>
      <c r="T34" s="18" t="s">
        <v>333</v>
      </c>
      <c r="U34" s="69">
        <f>IF(S34&lt;=T34,1,0)</f>
        <v>1</v>
      </c>
      <c r="V34" s="69" t="str">
        <f>IF(U34=0,"متاخر","في الموعد")</f>
        <v>في الموعد</v>
      </c>
      <c r="W34" s="57">
        <v>18</v>
      </c>
      <c r="X34" s="40" t="s">
        <v>20</v>
      </c>
      <c r="Y34" s="40" t="s">
        <v>165</v>
      </c>
    </row>
    <row r="35" spans="1:25" ht="20.100000000000001" customHeight="1" x14ac:dyDescent="0.3">
      <c r="A35" s="9">
        <v>35</v>
      </c>
      <c r="B35" s="53">
        <v>1422998</v>
      </c>
      <c r="C35" s="53">
        <v>1207350</v>
      </c>
      <c r="D35" s="9" t="s">
        <v>56</v>
      </c>
      <c r="E35" s="9" t="s">
        <v>330</v>
      </c>
      <c r="F35" s="9" t="s">
        <v>57</v>
      </c>
      <c r="G35" s="40" t="s">
        <v>243</v>
      </c>
      <c r="H35" s="40" t="s">
        <v>342</v>
      </c>
      <c r="I35" s="9" t="s">
        <v>230</v>
      </c>
      <c r="J35" s="9" t="s">
        <v>160</v>
      </c>
      <c r="K35" s="9"/>
      <c r="L35" s="9"/>
      <c r="M35" s="9"/>
      <c r="N35" s="9"/>
      <c r="O35" s="37" t="s">
        <v>48</v>
      </c>
      <c r="P35" s="9">
        <v>7849</v>
      </c>
      <c r="Q35" s="10">
        <v>7928</v>
      </c>
      <c r="R35" s="11">
        <v>45547</v>
      </c>
      <c r="S35" s="11">
        <v>45561</v>
      </c>
      <c r="T35" s="9" t="s">
        <v>309</v>
      </c>
      <c r="U35" s="40"/>
      <c r="V35" s="40"/>
      <c r="W35" s="44"/>
      <c r="X35" s="40" t="s">
        <v>20</v>
      </c>
      <c r="Y35" s="40" t="s">
        <v>165</v>
      </c>
    </row>
    <row r="36" spans="1:25" ht="20.100000000000001" customHeight="1" x14ac:dyDescent="0.3">
      <c r="A36" s="5">
        <v>36</v>
      </c>
      <c r="B36" s="12"/>
      <c r="C36" s="12"/>
      <c r="D36" s="5" t="s">
        <v>64</v>
      </c>
      <c r="E36" s="5" t="s">
        <v>330</v>
      </c>
      <c r="F36" s="5" t="s">
        <v>65</v>
      </c>
      <c r="G36" s="12" t="s">
        <v>313</v>
      </c>
      <c r="H36" s="5" t="s">
        <v>343</v>
      </c>
      <c r="I36" s="5" t="s">
        <v>127</v>
      </c>
      <c r="J36" s="5" t="s">
        <v>144</v>
      </c>
      <c r="K36" s="5" t="s">
        <v>132</v>
      </c>
      <c r="L36" s="5">
        <v>100</v>
      </c>
      <c r="M36" s="9" t="s">
        <v>171</v>
      </c>
      <c r="N36" s="5" t="s">
        <v>141</v>
      </c>
      <c r="O36" s="5" t="s">
        <v>66</v>
      </c>
      <c r="P36" s="5">
        <v>9450</v>
      </c>
      <c r="Q36" s="5">
        <v>9450</v>
      </c>
      <c r="R36" s="8">
        <v>45547</v>
      </c>
      <c r="S36" s="8">
        <v>45561</v>
      </c>
      <c r="T36" s="5"/>
      <c r="U36" s="5"/>
      <c r="V36" s="5"/>
      <c r="W36" s="7"/>
      <c r="X36" s="5" t="s">
        <v>268</v>
      </c>
      <c r="Y36" s="6" t="s">
        <v>266</v>
      </c>
    </row>
    <row r="37" spans="1:25" ht="20.100000000000001" customHeight="1" x14ac:dyDescent="0.3">
      <c r="A37" s="9">
        <v>37</v>
      </c>
      <c r="B37" s="53">
        <v>1459790</v>
      </c>
      <c r="C37" s="53">
        <v>1218257</v>
      </c>
      <c r="D37" s="16" t="s">
        <v>78</v>
      </c>
      <c r="E37" s="16" t="s">
        <v>330</v>
      </c>
      <c r="F37" s="16" t="s">
        <v>52</v>
      </c>
      <c r="G37" s="40" t="s">
        <v>52</v>
      </c>
      <c r="H37" s="40" t="s">
        <v>342</v>
      </c>
      <c r="I37" s="16" t="s">
        <v>127</v>
      </c>
      <c r="J37" s="9" t="s">
        <v>130</v>
      </c>
      <c r="K37" s="9" t="s">
        <v>133</v>
      </c>
      <c r="L37" s="16">
        <v>120</v>
      </c>
      <c r="M37" s="9" t="s">
        <v>171</v>
      </c>
      <c r="N37" s="16" t="s">
        <v>141</v>
      </c>
      <c r="O37" s="38" t="s">
        <v>79</v>
      </c>
      <c r="P37" s="16">
        <v>7460</v>
      </c>
      <c r="Q37" s="17" t="s">
        <v>12</v>
      </c>
      <c r="R37" s="18">
        <v>45548</v>
      </c>
      <c r="S37" s="18">
        <v>45561</v>
      </c>
      <c r="T37" s="18">
        <v>45568</v>
      </c>
      <c r="U37" s="69">
        <f>IF(S37&lt;=T37,1,0)</f>
        <v>1</v>
      </c>
      <c r="V37" s="69" t="str">
        <f>IF(U37=0,"متاخر","في الموعد")</f>
        <v>في الموعد</v>
      </c>
      <c r="W37" s="57">
        <f>T37-R37</f>
        <v>20</v>
      </c>
      <c r="X37" s="9" t="s">
        <v>267</v>
      </c>
      <c r="Y37" s="40" t="s">
        <v>165</v>
      </c>
    </row>
    <row r="38" spans="1:25" ht="20.100000000000001" customHeight="1" x14ac:dyDescent="0.3">
      <c r="A38" s="9">
        <v>38</v>
      </c>
      <c r="B38" s="53">
        <v>1455486</v>
      </c>
      <c r="C38" s="53">
        <v>1217163</v>
      </c>
      <c r="D38" s="16" t="s">
        <v>82</v>
      </c>
      <c r="E38" s="16" t="s">
        <v>330</v>
      </c>
      <c r="F38" s="9" t="s">
        <v>52</v>
      </c>
      <c r="G38" s="40" t="s">
        <v>52</v>
      </c>
      <c r="H38" s="40" t="s">
        <v>342</v>
      </c>
      <c r="I38" s="16" t="s">
        <v>127</v>
      </c>
      <c r="J38" s="9" t="s">
        <v>130</v>
      </c>
      <c r="K38" s="16" t="s">
        <v>151</v>
      </c>
      <c r="L38" s="16">
        <v>140</v>
      </c>
      <c r="M38" s="16" t="s">
        <v>149</v>
      </c>
      <c r="N38" s="16" t="s">
        <v>145</v>
      </c>
      <c r="O38" s="38" t="s">
        <v>83</v>
      </c>
      <c r="P38" s="16">
        <v>9528</v>
      </c>
      <c r="Q38" s="17" t="s">
        <v>12</v>
      </c>
      <c r="R38" s="18">
        <v>45548</v>
      </c>
      <c r="S38" s="18">
        <v>45561</v>
      </c>
      <c r="T38" s="18">
        <v>45568</v>
      </c>
      <c r="U38" s="69">
        <f>IF(S38&lt;=T38,1,0)</f>
        <v>1</v>
      </c>
      <c r="V38" s="69" t="str">
        <f>IF(U38=0,"متاخر","في الموعد")</f>
        <v>في الموعد</v>
      </c>
      <c r="W38" s="57">
        <f>T38-R38</f>
        <v>20</v>
      </c>
      <c r="X38" s="9" t="s">
        <v>267</v>
      </c>
      <c r="Y38" s="40" t="s">
        <v>165</v>
      </c>
    </row>
    <row r="39" spans="1:25" ht="20.100000000000001" customHeight="1" x14ac:dyDescent="0.3">
      <c r="A39" s="9">
        <v>39</v>
      </c>
      <c r="B39" s="53">
        <v>1504407</v>
      </c>
      <c r="C39" s="53">
        <v>1229760</v>
      </c>
      <c r="D39" s="9" t="s">
        <v>120</v>
      </c>
      <c r="E39" s="9" t="s">
        <v>330</v>
      </c>
      <c r="F39" s="9" t="s">
        <v>28</v>
      </c>
      <c r="G39" s="40" t="s">
        <v>361</v>
      </c>
      <c r="H39" s="40" t="s">
        <v>342</v>
      </c>
      <c r="I39" s="9" t="s">
        <v>127</v>
      </c>
      <c r="J39" s="9" t="s">
        <v>139</v>
      </c>
      <c r="K39" s="9" t="s">
        <v>132</v>
      </c>
      <c r="L39" s="9">
        <v>120</v>
      </c>
      <c r="M39" s="9" t="s">
        <v>145</v>
      </c>
      <c r="N39" s="9" t="s">
        <v>269</v>
      </c>
      <c r="O39" s="37" t="s">
        <v>121</v>
      </c>
      <c r="P39" s="9">
        <v>12999</v>
      </c>
      <c r="Q39" s="10" t="s">
        <v>12</v>
      </c>
      <c r="R39" s="11">
        <v>45549</v>
      </c>
      <c r="S39" s="11">
        <v>45562</v>
      </c>
      <c r="T39" s="11">
        <v>45567</v>
      </c>
      <c r="U39" s="69">
        <f>IF(S39&lt;=T39,1,0)</f>
        <v>1</v>
      </c>
      <c r="V39" s="69" t="str">
        <f>IF(U39=0,"متاخر","في الموعد")</f>
        <v>في الموعد</v>
      </c>
      <c r="W39" s="57">
        <f>T39-R39</f>
        <v>18</v>
      </c>
      <c r="X39" s="9" t="s">
        <v>267</v>
      </c>
      <c r="Y39" s="40" t="s">
        <v>165</v>
      </c>
    </row>
    <row r="40" spans="1:25" ht="20.100000000000001" customHeight="1" x14ac:dyDescent="0.3">
      <c r="A40" s="5">
        <v>40</v>
      </c>
      <c r="B40" s="49">
        <v>1423361</v>
      </c>
      <c r="C40" s="49">
        <v>1207484</v>
      </c>
      <c r="D40" s="5" t="s">
        <v>58</v>
      </c>
      <c r="E40" s="5" t="s">
        <v>330</v>
      </c>
      <c r="F40" s="5" t="s">
        <v>59</v>
      </c>
      <c r="G40" s="5" t="s">
        <v>319</v>
      </c>
      <c r="H40" s="5" t="s">
        <v>342</v>
      </c>
      <c r="I40" s="5" t="s">
        <v>127</v>
      </c>
      <c r="J40" s="5" t="s">
        <v>139</v>
      </c>
      <c r="K40" s="5" t="s">
        <v>129</v>
      </c>
      <c r="L40" s="5">
        <v>90</v>
      </c>
      <c r="M40" s="9" t="s">
        <v>171</v>
      </c>
      <c r="N40" s="5" t="s">
        <v>141</v>
      </c>
      <c r="O40" s="35" t="s">
        <v>62</v>
      </c>
      <c r="P40" s="5">
        <v>5999</v>
      </c>
      <c r="Q40" s="7" t="s">
        <v>12</v>
      </c>
      <c r="R40" s="8">
        <v>45547</v>
      </c>
      <c r="S40" s="8">
        <v>45564</v>
      </c>
      <c r="T40" s="8"/>
      <c r="U40" s="8"/>
      <c r="V40" s="8"/>
      <c r="W40" s="7"/>
      <c r="X40" s="5" t="s">
        <v>268</v>
      </c>
      <c r="Y40" s="6" t="s">
        <v>266</v>
      </c>
    </row>
    <row r="41" spans="1:25" ht="20.100000000000001" customHeight="1" x14ac:dyDescent="0.3">
      <c r="A41" s="9">
        <v>41</v>
      </c>
      <c r="B41" s="53">
        <v>1415725</v>
      </c>
      <c r="C41" s="53">
        <v>1204732</v>
      </c>
      <c r="D41" s="9" t="s">
        <v>60</v>
      </c>
      <c r="E41" s="9" t="s">
        <v>330</v>
      </c>
      <c r="F41" s="9" t="s">
        <v>61</v>
      </c>
      <c r="G41" s="40" t="s">
        <v>320</v>
      </c>
      <c r="H41" s="40" t="s">
        <v>342</v>
      </c>
      <c r="I41" s="9" t="s">
        <v>127</v>
      </c>
      <c r="J41" s="9" t="s">
        <v>139</v>
      </c>
      <c r="K41" s="9" t="s">
        <v>132</v>
      </c>
      <c r="L41" s="9">
        <v>100</v>
      </c>
      <c r="M41" s="9" t="s">
        <v>171</v>
      </c>
      <c r="N41" s="9" t="s">
        <v>141</v>
      </c>
      <c r="O41" s="37" t="s">
        <v>63</v>
      </c>
      <c r="P41" s="9">
        <v>11949</v>
      </c>
      <c r="Q41" s="10">
        <v>10749</v>
      </c>
      <c r="R41" s="11">
        <v>45547</v>
      </c>
      <c r="S41" s="11">
        <v>45564</v>
      </c>
      <c r="T41" s="11">
        <v>45567</v>
      </c>
      <c r="U41" s="69">
        <f t="shared" ref="U41:U46" si="6">IF(S41&lt;=T41,1,0)</f>
        <v>1</v>
      </c>
      <c r="V41" s="69" t="str">
        <f t="shared" ref="V41:V46" si="7">IF(U41=0,"متاخر","في الموعد")</f>
        <v>في الموعد</v>
      </c>
      <c r="W41" s="57">
        <f t="shared" ref="W41:W46" si="8">T41-R41</f>
        <v>20</v>
      </c>
      <c r="X41" s="9" t="s">
        <v>267</v>
      </c>
      <c r="Y41" s="40" t="s">
        <v>165</v>
      </c>
    </row>
    <row r="42" spans="1:25" ht="20.100000000000001" customHeight="1" x14ac:dyDescent="0.3">
      <c r="A42" s="9">
        <v>42</v>
      </c>
      <c r="B42" s="53">
        <v>1415726</v>
      </c>
      <c r="C42" s="53">
        <v>1204732</v>
      </c>
      <c r="D42" s="9" t="s">
        <v>60</v>
      </c>
      <c r="E42" s="9" t="s">
        <v>330</v>
      </c>
      <c r="F42" s="9" t="s">
        <v>61</v>
      </c>
      <c r="G42" s="40" t="s">
        <v>320</v>
      </c>
      <c r="H42" s="40" t="s">
        <v>342</v>
      </c>
      <c r="I42" s="9" t="s">
        <v>127</v>
      </c>
      <c r="J42" s="9" t="s">
        <v>139</v>
      </c>
      <c r="K42" s="9" t="s">
        <v>132</v>
      </c>
      <c r="L42" s="9">
        <v>100</v>
      </c>
      <c r="M42" s="9" t="s">
        <v>171</v>
      </c>
      <c r="N42" s="9" t="s">
        <v>141</v>
      </c>
      <c r="O42" s="37" t="s">
        <v>63</v>
      </c>
      <c r="P42" s="9">
        <v>11949</v>
      </c>
      <c r="Q42" s="10">
        <v>10749</v>
      </c>
      <c r="R42" s="11">
        <v>45547</v>
      </c>
      <c r="S42" s="11">
        <v>45564</v>
      </c>
      <c r="T42" s="11">
        <v>45567</v>
      </c>
      <c r="U42" s="69">
        <f t="shared" si="6"/>
        <v>1</v>
      </c>
      <c r="V42" s="69" t="str">
        <f t="shared" si="7"/>
        <v>في الموعد</v>
      </c>
      <c r="W42" s="57">
        <f t="shared" si="8"/>
        <v>20</v>
      </c>
      <c r="X42" s="9" t="s">
        <v>267</v>
      </c>
      <c r="Y42" s="40" t="s">
        <v>165</v>
      </c>
    </row>
    <row r="43" spans="1:25" ht="20.100000000000001" customHeight="1" x14ac:dyDescent="0.3">
      <c r="A43" s="9">
        <v>43</v>
      </c>
      <c r="B43" s="53">
        <v>1499397</v>
      </c>
      <c r="C43" s="53">
        <v>1228586</v>
      </c>
      <c r="D43" s="16" t="s">
        <v>24</v>
      </c>
      <c r="E43" s="16" t="s">
        <v>330</v>
      </c>
      <c r="F43" s="16" t="s">
        <v>59</v>
      </c>
      <c r="G43" s="40" t="s">
        <v>319</v>
      </c>
      <c r="H43" s="40" t="s">
        <v>342</v>
      </c>
      <c r="I43" s="16" t="s">
        <v>127</v>
      </c>
      <c r="J43" s="9" t="s">
        <v>144</v>
      </c>
      <c r="K43" s="9" t="s">
        <v>132</v>
      </c>
      <c r="L43" s="16">
        <v>80</v>
      </c>
      <c r="M43" s="16" t="s">
        <v>140</v>
      </c>
      <c r="N43" s="16" t="s">
        <v>140</v>
      </c>
      <c r="O43" s="38" t="s">
        <v>74</v>
      </c>
      <c r="P43" s="16">
        <v>16599</v>
      </c>
      <c r="Q43" s="17" t="s">
        <v>12</v>
      </c>
      <c r="R43" s="18">
        <v>45548</v>
      </c>
      <c r="S43" s="18">
        <v>45565</v>
      </c>
      <c r="T43" s="18">
        <v>45568</v>
      </c>
      <c r="U43" s="69">
        <f t="shared" si="6"/>
        <v>1</v>
      </c>
      <c r="V43" s="69" t="str">
        <f t="shared" si="7"/>
        <v>في الموعد</v>
      </c>
      <c r="W43" s="57">
        <f t="shared" si="8"/>
        <v>20</v>
      </c>
      <c r="X43" s="9" t="s">
        <v>267</v>
      </c>
      <c r="Y43" s="40" t="s">
        <v>165</v>
      </c>
    </row>
    <row r="44" spans="1:25" ht="20.100000000000001" customHeight="1" x14ac:dyDescent="0.3">
      <c r="A44" s="9">
        <v>44</v>
      </c>
      <c r="B44" s="53">
        <v>1458696</v>
      </c>
      <c r="C44" s="53">
        <v>1217982</v>
      </c>
      <c r="D44" s="16" t="s">
        <v>72</v>
      </c>
      <c r="E44" s="16" t="s">
        <v>330</v>
      </c>
      <c r="F44" s="16" t="s">
        <v>18</v>
      </c>
      <c r="G44" s="40" t="s">
        <v>98</v>
      </c>
      <c r="H44" s="40" t="s">
        <v>342</v>
      </c>
      <c r="I44" s="16" t="s">
        <v>127</v>
      </c>
      <c r="J44" s="9" t="s">
        <v>139</v>
      </c>
      <c r="K44" s="9" t="s">
        <v>132</v>
      </c>
      <c r="L44" s="9">
        <v>80</v>
      </c>
      <c r="M44" s="9" t="s">
        <v>140</v>
      </c>
      <c r="N44" s="9" t="s">
        <v>140</v>
      </c>
      <c r="O44" s="38" t="s">
        <v>73</v>
      </c>
      <c r="P44" s="16">
        <v>10999</v>
      </c>
      <c r="Q44" s="17" t="s">
        <v>12</v>
      </c>
      <c r="R44" s="18">
        <v>45548</v>
      </c>
      <c r="S44" s="18">
        <v>45565</v>
      </c>
      <c r="T44" s="18">
        <v>45581</v>
      </c>
      <c r="U44" s="69">
        <f t="shared" si="6"/>
        <v>1</v>
      </c>
      <c r="V44" s="69" t="str">
        <f t="shared" si="7"/>
        <v>في الموعد</v>
      </c>
      <c r="W44" s="57">
        <f t="shared" si="8"/>
        <v>33</v>
      </c>
      <c r="X44" s="40" t="s">
        <v>20</v>
      </c>
      <c r="Y44" s="40" t="s">
        <v>165</v>
      </c>
    </row>
    <row r="45" spans="1:25" ht="20.100000000000001" customHeight="1" x14ac:dyDescent="0.3">
      <c r="A45" s="9">
        <v>45</v>
      </c>
      <c r="B45" s="53">
        <v>1480814</v>
      </c>
      <c r="C45" s="53">
        <v>1223964</v>
      </c>
      <c r="D45" s="16" t="s">
        <v>75</v>
      </c>
      <c r="E45" s="16" t="s">
        <v>330</v>
      </c>
      <c r="F45" s="16" t="s">
        <v>76</v>
      </c>
      <c r="G45" s="40" t="s">
        <v>123</v>
      </c>
      <c r="H45" s="40" t="s">
        <v>342</v>
      </c>
      <c r="I45" s="16" t="s">
        <v>127</v>
      </c>
      <c r="J45" s="9" t="s">
        <v>139</v>
      </c>
      <c r="K45" s="9" t="s">
        <v>132</v>
      </c>
      <c r="L45" s="16">
        <v>140</v>
      </c>
      <c r="M45" s="16" t="s">
        <v>143</v>
      </c>
      <c r="N45" s="16" t="s">
        <v>143</v>
      </c>
      <c r="O45" s="38" t="s">
        <v>77</v>
      </c>
      <c r="P45" s="16">
        <v>13099</v>
      </c>
      <c r="Q45" s="17" t="s">
        <v>12</v>
      </c>
      <c r="R45" s="18">
        <v>45548</v>
      </c>
      <c r="S45" s="18">
        <v>45565</v>
      </c>
      <c r="T45" s="18">
        <v>45568</v>
      </c>
      <c r="U45" s="69">
        <f t="shared" si="6"/>
        <v>1</v>
      </c>
      <c r="V45" s="69" t="str">
        <f t="shared" si="7"/>
        <v>في الموعد</v>
      </c>
      <c r="W45" s="57">
        <f t="shared" si="8"/>
        <v>20</v>
      </c>
      <c r="X45" s="40" t="s">
        <v>20</v>
      </c>
      <c r="Y45" s="40" t="s">
        <v>165</v>
      </c>
    </row>
    <row r="46" spans="1:25" ht="20.100000000000001" customHeight="1" x14ac:dyDescent="0.3">
      <c r="A46" s="9">
        <v>46</v>
      </c>
      <c r="B46" s="53">
        <v>1492471</v>
      </c>
      <c r="C46" s="53">
        <v>1227052</v>
      </c>
      <c r="D46" s="16" t="s">
        <v>80</v>
      </c>
      <c r="E46" s="16" t="s">
        <v>330</v>
      </c>
      <c r="F46" s="9" t="s">
        <v>28</v>
      </c>
      <c r="G46" s="40" t="s">
        <v>361</v>
      </c>
      <c r="H46" s="40" t="s">
        <v>342</v>
      </c>
      <c r="I46" s="16" t="s">
        <v>127</v>
      </c>
      <c r="J46" s="9" t="s">
        <v>139</v>
      </c>
      <c r="K46" s="9" t="s">
        <v>131</v>
      </c>
      <c r="L46" s="9">
        <v>120</v>
      </c>
      <c r="M46" s="9" t="s">
        <v>146</v>
      </c>
      <c r="N46" s="9" t="s">
        <v>270</v>
      </c>
      <c r="O46" s="38" t="s">
        <v>81</v>
      </c>
      <c r="P46" s="16">
        <v>13849</v>
      </c>
      <c r="Q46" s="17" t="s">
        <v>12</v>
      </c>
      <c r="R46" s="18">
        <v>45548</v>
      </c>
      <c r="S46" s="18">
        <v>45565</v>
      </c>
      <c r="T46" s="11">
        <v>45585</v>
      </c>
      <c r="U46" s="69">
        <f t="shared" si="6"/>
        <v>1</v>
      </c>
      <c r="V46" s="69" t="str">
        <f t="shared" si="7"/>
        <v>في الموعد</v>
      </c>
      <c r="W46" s="57">
        <f t="shared" si="8"/>
        <v>37</v>
      </c>
      <c r="X46" s="9" t="s">
        <v>267</v>
      </c>
      <c r="Y46" s="40" t="s">
        <v>165</v>
      </c>
    </row>
    <row r="47" spans="1:25" ht="20.100000000000001" customHeight="1" x14ac:dyDescent="0.3">
      <c r="A47" s="16">
        <v>47</v>
      </c>
      <c r="B47" s="53">
        <v>1507912</v>
      </c>
      <c r="C47" s="53">
        <v>1230527</v>
      </c>
      <c r="D47" s="16" t="s">
        <v>84</v>
      </c>
      <c r="E47" s="16" t="s">
        <v>330</v>
      </c>
      <c r="F47" s="16" t="s">
        <v>85</v>
      </c>
      <c r="G47" s="40" t="s">
        <v>52</v>
      </c>
      <c r="H47" s="40" t="s">
        <v>342</v>
      </c>
      <c r="I47" s="9" t="s">
        <v>170</v>
      </c>
      <c r="J47" s="9" t="s">
        <v>138</v>
      </c>
      <c r="K47" s="16"/>
      <c r="L47" s="16"/>
      <c r="M47" s="9" t="s">
        <v>171</v>
      </c>
      <c r="N47" s="16" t="s">
        <v>145</v>
      </c>
      <c r="O47" s="38" t="s">
        <v>299</v>
      </c>
      <c r="P47" s="16">
        <v>21999</v>
      </c>
      <c r="Q47" s="17" t="s">
        <v>12</v>
      </c>
      <c r="R47" s="18">
        <v>45548</v>
      </c>
      <c r="S47" s="18">
        <v>45565</v>
      </c>
      <c r="T47" s="9"/>
      <c r="U47" s="9"/>
      <c r="V47" s="9"/>
      <c r="W47" s="10"/>
      <c r="X47" s="9" t="s">
        <v>267</v>
      </c>
      <c r="Y47" s="40" t="s">
        <v>165</v>
      </c>
    </row>
    <row r="48" spans="1:25" ht="20.100000000000001" customHeight="1" x14ac:dyDescent="0.3">
      <c r="A48" s="9">
        <v>48</v>
      </c>
      <c r="B48" s="53">
        <v>1525747</v>
      </c>
      <c r="C48" s="53">
        <v>1234936</v>
      </c>
      <c r="D48" s="16" t="s">
        <v>90</v>
      </c>
      <c r="E48" s="16" t="s">
        <v>330</v>
      </c>
      <c r="F48" s="9" t="s">
        <v>28</v>
      </c>
      <c r="G48" s="40" t="s">
        <v>361</v>
      </c>
      <c r="H48" s="40" t="s">
        <v>342</v>
      </c>
      <c r="I48" s="16" t="s">
        <v>127</v>
      </c>
      <c r="J48" s="9" t="s">
        <v>139</v>
      </c>
      <c r="K48" s="9" t="s">
        <v>132</v>
      </c>
      <c r="L48" s="9">
        <v>80</v>
      </c>
      <c r="M48" s="9" t="s">
        <v>140</v>
      </c>
      <c r="N48" s="9" t="s">
        <v>140</v>
      </c>
      <c r="O48" s="38" t="s">
        <v>73</v>
      </c>
      <c r="P48" s="16">
        <v>10999</v>
      </c>
      <c r="Q48" s="17" t="s">
        <v>12</v>
      </c>
      <c r="R48" s="18">
        <v>45548</v>
      </c>
      <c r="S48" s="18">
        <v>45565</v>
      </c>
      <c r="T48" s="11">
        <v>45580</v>
      </c>
      <c r="U48" s="69">
        <f t="shared" ref="U48:U54" si="9">IF(S48&lt;=T48,1,0)</f>
        <v>1</v>
      </c>
      <c r="V48" s="69" t="str">
        <f t="shared" ref="V48:V54" si="10">IF(U48=0,"متاخر","في الموعد")</f>
        <v>في الموعد</v>
      </c>
      <c r="W48" s="57">
        <f t="shared" ref="W48:W54" si="11">T48-R48</f>
        <v>32</v>
      </c>
      <c r="X48" s="9" t="s">
        <v>267</v>
      </c>
      <c r="Y48" s="40" t="s">
        <v>165</v>
      </c>
    </row>
    <row r="49" spans="1:25" ht="20.100000000000001" customHeight="1" x14ac:dyDescent="0.3">
      <c r="A49" s="9">
        <v>49</v>
      </c>
      <c r="B49" s="53">
        <v>1536313</v>
      </c>
      <c r="C49" s="53">
        <v>1237601</v>
      </c>
      <c r="D49" s="16" t="s">
        <v>91</v>
      </c>
      <c r="E49" s="16" t="s">
        <v>330</v>
      </c>
      <c r="F49" s="16" t="s">
        <v>89</v>
      </c>
      <c r="G49" s="40" t="s">
        <v>326</v>
      </c>
      <c r="H49" s="40" t="s">
        <v>342</v>
      </c>
      <c r="I49" s="16" t="s">
        <v>127</v>
      </c>
      <c r="J49" s="9" t="s">
        <v>144</v>
      </c>
      <c r="K49" s="9" t="s">
        <v>132</v>
      </c>
      <c r="L49" s="16">
        <v>90</v>
      </c>
      <c r="M49" s="9" t="s">
        <v>171</v>
      </c>
      <c r="N49" s="16" t="s">
        <v>141</v>
      </c>
      <c r="O49" s="38" t="s">
        <v>92</v>
      </c>
      <c r="P49" s="16">
        <v>17249</v>
      </c>
      <c r="Q49" s="17" t="s">
        <v>12</v>
      </c>
      <c r="R49" s="18">
        <v>45548</v>
      </c>
      <c r="S49" s="18">
        <v>45565</v>
      </c>
      <c r="T49" s="18">
        <v>45569</v>
      </c>
      <c r="U49" s="69">
        <f t="shared" si="9"/>
        <v>1</v>
      </c>
      <c r="V49" s="69" t="str">
        <f t="shared" si="10"/>
        <v>في الموعد</v>
      </c>
      <c r="W49" s="57">
        <f t="shared" si="11"/>
        <v>21</v>
      </c>
      <c r="X49" s="9" t="s">
        <v>267</v>
      </c>
      <c r="Y49" s="40" t="s">
        <v>165</v>
      </c>
    </row>
    <row r="50" spans="1:25" ht="20.100000000000001" customHeight="1" x14ac:dyDescent="0.3">
      <c r="A50" s="9">
        <v>50</v>
      </c>
      <c r="B50" s="53">
        <v>1505609</v>
      </c>
      <c r="C50" s="53">
        <v>1230031</v>
      </c>
      <c r="D50" s="9" t="s">
        <v>117</v>
      </c>
      <c r="E50" s="9" t="s">
        <v>330</v>
      </c>
      <c r="F50" s="9" t="s">
        <v>118</v>
      </c>
      <c r="G50" s="40" t="s">
        <v>313</v>
      </c>
      <c r="H50" s="40" t="s">
        <v>342</v>
      </c>
      <c r="I50" s="9" t="s">
        <v>230</v>
      </c>
      <c r="J50" s="9" t="s">
        <v>160</v>
      </c>
      <c r="K50" s="9"/>
      <c r="L50" s="9"/>
      <c r="M50" s="9"/>
      <c r="N50" s="9"/>
      <c r="O50" s="37" t="s">
        <v>119</v>
      </c>
      <c r="P50" s="9">
        <v>8349</v>
      </c>
      <c r="Q50" s="10" t="s">
        <v>12</v>
      </c>
      <c r="R50" s="11">
        <v>45549</v>
      </c>
      <c r="S50" s="11">
        <v>45581</v>
      </c>
      <c r="T50" s="11">
        <v>45586</v>
      </c>
      <c r="U50" s="69">
        <f t="shared" si="9"/>
        <v>1</v>
      </c>
      <c r="V50" s="69" t="str">
        <f t="shared" si="10"/>
        <v>في الموعد</v>
      </c>
      <c r="W50" s="57">
        <f t="shared" si="11"/>
        <v>37</v>
      </c>
      <c r="X50" s="9" t="s">
        <v>267</v>
      </c>
      <c r="Y50" s="40" t="s">
        <v>165</v>
      </c>
    </row>
    <row r="51" spans="1:25" ht="20.100000000000001" customHeight="1" x14ac:dyDescent="0.3">
      <c r="A51" s="9">
        <v>51</v>
      </c>
      <c r="B51" s="53">
        <v>1612229</v>
      </c>
      <c r="C51" s="53">
        <v>1254076</v>
      </c>
      <c r="D51" s="9" t="s">
        <v>99</v>
      </c>
      <c r="E51" s="9" t="s">
        <v>330</v>
      </c>
      <c r="F51" s="9" t="s">
        <v>47</v>
      </c>
      <c r="G51" s="40" t="s">
        <v>310</v>
      </c>
      <c r="H51" s="40" t="s">
        <v>342</v>
      </c>
      <c r="I51" s="9" t="s">
        <v>230</v>
      </c>
      <c r="J51" s="16" t="s">
        <v>161</v>
      </c>
      <c r="K51" s="16"/>
      <c r="L51" s="16"/>
      <c r="M51" s="16"/>
      <c r="N51" s="16"/>
      <c r="O51" s="37" t="s">
        <v>19</v>
      </c>
      <c r="P51" s="16">
        <v>7849</v>
      </c>
      <c r="Q51" s="17" t="s">
        <v>12</v>
      </c>
      <c r="R51" s="18">
        <v>45549</v>
      </c>
      <c r="S51" s="18">
        <v>45594</v>
      </c>
      <c r="T51" s="18">
        <v>45595</v>
      </c>
      <c r="U51" s="69">
        <f t="shared" si="9"/>
        <v>1</v>
      </c>
      <c r="V51" s="69" t="str">
        <f t="shared" si="10"/>
        <v>في الموعد</v>
      </c>
      <c r="W51" s="57">
        <f t="shared" si="11"/>
        <v>46</v>
      </c>
      <c r="X51" s="9" t="s">
        <v>267</v>
      </c>
      <c r="Y51" s="40" t="s">
        <v>165</v>
      </c>
    </row>
    <row r="52" spans="1:25" ht="20.100000000000001" customHeight="1" x14ac:dyDescent="0.3">
      <c r="A52" s="9">
        <v>52</v>
      </c>
      <c r="B52" s="53">
        <v>1673771</v>
      </c>
      <c r="C52" s="53">
        <v>1269559</v>
      </c>
      <c r="D52" s="9" t="s">
        <v>100</v>
      </c>
      <c r="E52" s="9" t="s">
        <v>330</v>
      </c>
      <c r="F52" s="9" t="s">
        <v>28</v>
      </c>
      <c r="G52" s="40" t="s">
        <v>361</v>
      </c>
      <c r="H52" s="40" t="s">
        <v>342</v>
      </c>
      <c r="I52" s="16" t="s">
        <v>127</v>
      </c>
      <c r="J52" s="16" t="s">
        <v>128</v>
      </c>
      <c r="K52" s="16"/>
      <c r="L52" s="16"/>
      <c r="M52" s="9" t="s">
        <v>171</v>
      </c>
      <c r="N52" s="9" t="s">
        <v>141</v>
      </c>
      <c r="O52" s="38" t="s">
        <v>101</v>
      </c>
      <c r="P52" s="16">
        <v>9399</v>
      </c>
      <c r="Q52" s="17" t="s">
        <v>96</v>
      </c>
      <c r="R52" s="18">
        <v>45549</v>
      </c>
      <c r="S52" s="18">
        <v>45594</v>
      </c>
      <c r="T52" s="18">
        <v>45580</v>
      </c>
      <c r="U52" s="69">
        <f t="shared" si="9"/>
        <v>0</v>
      </c>
      <c r="V52" s="69" t="str">
        <f t="shared" si="10"/>
        <v>متاخر</v>
      </c>
      <c r="W52" s="57">
        <f t="shared" si="11"/>
        <v>31</v>
      </c>
      <c r="X52" s="9" t="s">
        <v>267</v>
      </c>
      <c r="Y52" s="40" t="s">
        <v>165</v>
      </c>
    </row>
    <row r="53" spans="1:25" ht="20.100000000000001" customHeight="1" x14ac:dyDescent="0.3">
      <c r="A53" s="9">
        <v>53</v>
      </c>
      <c r="B53" s="53">
        <v>1667352</v>
      </c>
      <c r="C53" s="53">
        <v>1267819</v>
      </c>
      <c r="D53" s="9" t="s">
        <v>102</v>
      </c>
      <c r="E53" s="9" t="s">
        <v>330</v>
      </c>
      <c r="F53" s="9" t="s">
        <v>103</v>
      </c>
      <c r="G53" s="40" t="s">
        <v>327</v>
      </c>
      <c r="H53" s="40" t="s">
        <v>342</v>
      </c>
      <c r="I53" s="16" t="s">
        <v>127</v>
      </c>
      <c r="J53" s="9" t="s">
        <v>130</v>
      </c>
      <c r="K53" s="9" t="s">
        <v>133</v>
      </c>
      <c r="L53" s="16">
        <v>140</v>
      </c>
      <c r="M53" s="9" t="s">
        <v>171</v>
      </c>
      <c r="N53" s="16" t="s">
        <v>179</v>
      </c>
      <c r="O53" s="37" t="s">
        <v>104</v>
      </c>
      <c r="P53" s="16">
        <v>11817</v>
      </c>
      <c r="Q53" s="17" t="s">
        <v>96</v>
      </c>
      <c r="R53" s="18">
        <v>45549</v>
      </c>
      <c r="S53" s="18">
        <v>45594</v>
      </c>
      <c r="T53" s="11">
        <v>45580</v>
      </c>
      <c r="U53" s="69">
        <f t="shared" si="9"/>
        <v>0</v>
      </c>
      <c r="V53" s="69" t="str">
        <f t="shared" si="10"/>
        <v>متاخر</v>
      </c>
      <c r="W53" s="57">
        <f t="shared" si="11"/>
        <v>31</v>
      </c>
      <c r="X53" s="9" t="s">
        <v>267</v>
      </c>
      <c r="Y53" s="40" t="s">
        <v>165</v>
      </c>
    </row>
    <row r="54" spans="1:25" ht="20.100000000000001" customHeight="1" x14ac:dyDescent="0.3">
      <c r="A54" s="9">
        <v>54</v>
      </c>
      <c r="B54" s="53">
        <v>1649781</v>
      </c>
      <c r="C54" s="53">
        <v>1263160</v>
      </c>
      <c r="D54" s="9" t="s">
        <v>105</v>
      </c>
      <c r="E54" s="9" t="s">
        <v>330</v>
      </c>
      <c r="F54" s="9" t="s">
        <v>59</v>
      </c>
      <c r="G54" s="40" t="s">
        <v>319</v>
      </c>
      <c r="H54" s="40" t="s">
        <v>342</v>
      </c>
      <c r="I54" s="9" t="s">
        <v>230</v>
      </c>
      <c r="J54" s="9" t="s">
        <v>162</v>
      </c>
      <c r="K54" s="16"/>
      <c r="L54" s="16"/>
      <c r="M54" s="16"/>
      <c r="N54" s="16"/>
      <c r="O54" s="37" t="s">
        <v>126</v>
      </c>
      <c r="P54" s="16">
        <v>8349</v>
      </c>
      <c r="Q54" s="17" t="s">
        <v>96</v>
      </c>
      <c r="R54" s="18">
        <v>45549</v>
      </c>
      <c r="S54" s="18">
        <v>45594</v>
      </c>
      <c r="T54" s="11">
        <v>45584</v>
      </c>
      <c r="U54" s="69">
        <f t="shared" si="9"/>
        <v>0</v>
      </c>
      <c r="V54" s="69" t="str">
        <f t="shared" si="10"/>
        <v>متاخر</v>
      </c>
      <c r="W54" s="57">
        <f t="shared" si="11"/>
        <v>35</v>
      </c>
      <c r="X54" s="9" t="s">
        <v>267</v>
      </c>
      <c r="Y54" s="40" t="s">
        <v>165</v>
      </c>
    </row>
    <row r="55" spans="1:25" ht="20.100000000000001" customHeight="1" x14ac:dyDescent="0.3">
      <c r="A55" s="5">
        <v>55</v>
      </c>
      <c r="B55" s="49">
        <v>1681476</v>
      </c>
      <c r="C55" s="49">
        <v>1271813</v>
      </c>
      <c r="D55" s="5" t="s">
        <v>108</v>
      </c>
      <c r="E55" s="5" t="s">
        <v>330</v>
      </c>
      <c r="F55" s="5" t="s">
        <v>109</v>
      </c>
      <c r="G55" s="5" t="s">
        <v>109</v>
      </c>
      <c r="H55" s="5" t="s">
        <v>342</v>
      </c>
      <c r="I55" s="12" t="s">
        <v>127</v>
      </c>
      <c r="J55" s="5" t="s">
        <v>130</v>
      </c>
      <c r="K55" s="5" t="s">
        <v>150</v>
      </c>
      <c r="L55" s="12">
        <v>120</v>
      </c>
      <c r="M55" s="12" t="s">
        <v>140</v>
      </c>
      <c r="N55" s="12" t="s">
        <v>140</v>
      </c>
      <c r="O55" s="5" t="s">
        <v>110</v>
      </c>
      <c r="P55" s="5">
        <v>17886</v>
      </c>
      <c r="Q55" s="7" t="s">
        <v>96</v>
      </c>
      <c r="R55" s="8">
        <v>45549</v>
      </c>
      <c r="S55" s="13">
        <v>45594</v>
      </c>
      <c r="T55" s="5"/>
      <c r="U55" s="5"/>
      <c r="V55" s="5"/>
      <c r="W55" s="7"/>
      <c r="X55" s="5" t="s">
        <v>268</v>
      </c>
      <c r="Y55" s="6" t="s">
        <v>266</v>
      </c>
    </row>
    <row r="56" spans="1:25" ht="20.100000000000001" customHeight="1" x14ac:dyDescent="0.3">
      <c r="A56" s="5">
        <v>56</v>
      </c>
      <c r="B56" s="49">
        <v>1681477</v>
      </c>
      <c r="C56" s="49">
        <v>1271813</v>
      </c>
      <c r="D56" s="5" t="s">
        <v>108</v>
      </c>
      <c r="E56" s="5" t="s">
        <v>330</v>
      </c>
      <c r="F56" s="5" t="s">
        <v>109</v>
      </c>
      <c r="G56" s="5" t="s">
        <v>109</v>
      </c>
      <c r="H56" s="5" t="s">
        <v>342</v>
      </c>
      <c r="I56" s="12" t="s">
        <v>127</v>
      </c>
      <c r="J56" s="5" t="s">
        <v>130</v>
      </c>
      <c r="K56" s="5" t="s">
        <v>150</v>
      </c>
      <c r="L56" s="12">
        <v>120</v>
      </c>
      <c r="M56" s="12" t="s">
        <v>140</v>
      </c>
      <c r="N56" s="12" t="s">
        <v>140</v>
      </c>
      <c r="O56" s="5" t="s">
        <v>110</v>
      </c>
      <c r="P56" s="5">
        <v>17886</v>
      </c>
      <c r="Q56" s="7" t="s">
        <v>96</v>
      </c>
      <c r="R56" s="8">
        <v>45549</v>
      </c>
      <c r="S56" s="13">
        <v>45594</v>
      </c>
      <c r="T56" s="5"/>
      <c r="U56" s="5"/>
      <c r="V56" s="5"/>
      <c r="W56" s="7"/>
      <c r="X56" s="5" t="s">
        <v>268</v>
      </c>
      <c r="Y56" s="6" t="s">
        <v>266</v>
      </c>
    </row>
    <row r="57" spans="1:25" ht="20.100000000000001" customHeight="1" x14ac:dyDescent="0.3">
      <c r="A57" s="9">
        <v>57</v>
      </c>
      <c r="B57" s="53">
        <v>1677530</v>
      </c>
      <c r="C57" s="53">
        <v>1270704</v>
      </c>
      <c r="D57" s="9" t="s">
        <v>111</v>
      </c>
      <c r="E57" s="9" t="s">
        <v>330</v>
      </c>
      <c r="F57" s="9" t="s">
        <v>52</v>
      </c>
      <c r="G57" s="40" t="s">
        <v>52</v>
      </c>
      <c r="H57" s="40" t="s">
        <v>342</v>
      </c>
      <c r="I57" s="16" t="s">
        <v>127</v>
      </c>
      <c r="J57" s="9" t="s">
        <v>130</v>
      </c>
      <c r="K57" s="9" t="s">
        <v>133</v>
      </c>
      <c r="L57" s="16">
        <v>120</v>
      </c>
      <c r="M57" s="16" t="s">
        <v>140</v>
      </c>
      <c r="N57" s="16" t="s">
        <v>140</v>
      </c>
      <c r="O57" s="37" t="s">
        <v>112</v>
      </c>
      <c r="P57" s="16">
        <v>10987</v>
      </c>
      <c r="Q57" s="10" t="s">
        <v>12</v>
      </c>
      <c r="R57" s="11">
        <v>45549</v>
      </c>
      <c r="S57" s="18">
        <v>45594</v>
      </c>
      <c r="T57" s="11">
        <v>45578</v>
      </c>
      <c r="U57" s="69">
        <f>IF(S57&lt;=T57,1,0)</f>
        <v>0</v>
      </c>
      <c r="V57" s="69" t="str">
        <f>IF(U57=0,"متاخر","في الموعد")</f>
        <v>متاخر</v>
      </c>
      <c r="W57" s="57">
        <f>T57-R57</f>
        <v>29</v>
      </c>
      <c r="X57" s="9" t="s">
        <v>267</v>
      </c>
      <c r="Y57" s="40" t="s">
        <v>165</v>
      </c>
    </row>
    <row r="58" spans="1:25" ht="20.100000000000001" customHeight="1" x14ac:dyDescent="0.3">
      <c r="A58" s="9">
        <v>58</v>
      </c>
      <c r="B58" s="53">
        <v>1677528</v>
      </c>
      <c r="C58" s="53">
        <v>1270704</v>
      </c>
      <c r="D58" s="9" t="s">
        <v>111</v>
      </c>
      <c r="E58" s="9" t="s">
        <v>330</v>
      </c>
      <c r="F58" s="9" t="s">
        <v>52</v>
      </c>
      <c r="G58" s="40" t="s">
        <v>52</v>
      </c>
      <c r="H58" s="40" t="s">
        <v>342</v>
      </c>
      <c r="I58" s="16" t="s">
        <v>127</v>
      </c>
      <c r="J58" s="9" t="s">
        <v>130</v>
      </c>
      <c r="K58" s="9" t="s">
        <v>133</v>
      </c>
      <c r="L58" s="16">
        <v>120</v>
      </c>
      <c r="M58" s="16" t="s">
        <v>140</v>
      </c>
      <c r="N58" s="16" t="s">
        <v>140</v>
      </c>
      <c r="O58" s="37" t="s">
        <v>112</v>
      </c>
      <c r="P58" s="16">
        <v>10987</v>
      </c>
      <c r="Q58" s="10" t="s">
        <v>12</v>
      </c>
      <c r="R58" s="11">
        <v>45549</v>
      </c>
      <c r="S58" s="18">
        <v>45594</v>
      </c>
      <c r="T58" s="11">
        <v>45578</v>
      </c>
      <c r="U58" s="69">
        <f>IF(S58&lt;=T58,1,0)</f>
        <v>0</v>
      </c>
      <c r="V58" s="69" t="str">
        <f>IF(U58=0,"متاخر","في الموعد")</f>
        <v>متاخر</v>
      </c>
      <c r="W58" s="57">
        <f>T58-R58</f>
        <v>29</v>
      </c>
      <c r="X58" s="9" t="s">
        <v>267</v>
      </c>
      <c r="Y58" s="40" t="s">
        <v>165</v>
      </c>
    </row>
    <row r="59" spans="1:25" ht="20.100000000000001" customHeight="1" x14ac:dyDescent="0.3">
      <c r="A59" s="9">
        <v>59</v>
      </c>
      <c r="B59" s="53">
        <v>1657744</v>
      </c>
      <c r="C59" s="53">
        <v>1265268</v>
      </c>
      <c r="D59" s="9" t="s">
        <v>114</v>
      </c>
      <c r="E59" s="9" t="s">
        <v>330</v>
      </c>
      <c r="F59" s="9" t="s">
        <v>115</v>
      </c>
      <c r="G59" s="40" t="s">
        <v>115</v>
      </c>
      <c r="H59" s="40" t="s">
        <v>342</v>
      </c>
      <c r="I59" s="9" t="s">
        <v>230</v>
      </c>
      <c r="J59" s="9" t="s">
        <v>160</v>
      </c>
      <c r="K59" s="9"/>
      <c r="L59" s="9"/>
      <c r="M59" s="9"/>
      <c r="N59" s="9"/>
      <c r="O59" s="37" t="s">
        <v>48</v>
      </c>
      <c r="P59" s="9">
        <v>10319</v>
      </c>
      <c r="Q59" s="10" t="s">
        <v>12</v>
      </c>
      <c r="R59" s="11">
        <v>45549</v>
      </c>
      <c r="S59" s="11">
        <v>45594</v>
      </c>
      <c r="T59" s="11">
        <v>45584</v>
      </c>
      <c r="U59" s="69">
        <f>IF(S59&lt;=T59,1,0)</f>
        <v>0</v>
      </c>
      <c r="V59" s="69" t="str">
        <f>IF(U59=0,"متاخر","في الموعد")</f>
        <v>متاخر</v>
      </c>
      <c r="W59" s="57">
        <f>T59-R59</f>
        <v>35</v>
      </c>
      <c r="X59" s="9" t="s">
        <v>267</v>
      </c>
      <c r="Y59" s="40" t="s">
        <v>165</v>
      </c>
    </row>
    <row r="60" spans="1:25" ht="20.100000000000001" customHeight="1" x14ac:dyDescent="0.3">
      <c r="A60" s="9">
        <v>60</v>
      </c>
      <c r="B60" s="53">
        <v>1610613</v>
      </c>
      <c r="C60" s="53">
        <v>1253646</v>
      </c>
      <c r="D60" s="9" t="s">
        <v>93</v>
      </c>
      <c r="E60" s="9" t="s">
        <v>330</v>
      </c>
      <c r="F60" s="9" t="s">
        <v>94</v>
      </c>
      <c r="G60" s="40" t="s">
        <v>321</v>
      </c>
      <c r="H60" s="40" t="s">
        <v>342</v>
      </c>
      <c r="I60" s="16" t="s">
        <v>127</v>
      </c>
      <c r="J60" s="9" t="s">
        <v>139</v>
      </c>
      <c r="K60" s="9" t="s">
        <v>132</v>
      </c>
      <c r="L60" s="9">
        <v>120</v>
      </c>
      <c r="M60" s="9" t="s">
        <v>145</v>
      </c>
      <c r="N60" s="9" t="s">
        <v>269</v>
      </c>
      <c r="O60" s="37" t="s">
        <v>95</v>
      </c>
      <c r="P60" s="16">
        <v>12999</v>
      </c>
      <c r="Q60" s="17" t="s">
        <v>96</v>
      </c>
      <c r="R60" s="18">
        <v>45549</v>
      </c>
      <c r="S60" s="18">
        <v>45616</v>
      </c>
      <c r="T60" s="18">
        <v>45582</v>
      </c>
      <c r="U60" s="69">
        <f>IF(S60&lt;=T60,1,0)</f>
        <v>0</v>
      </c>
      <c r="V60" s="69" t="str">
        <f>IF(U60=0,"متاخر","في الموعد")</f>
        <v>متاخر</v>
      </c>
      <c r="W60" s="57">
        <f>T60-R60</f>
        <v>33</v>
      </c>
      <c r="X60" s="40" t="s">
        <v>20</v>
      </c>
      <c r="Y60" s="40" t="s">
        <v>165</v>
      </c>
    </row>
    <row r="61" spans="1:25" ht="20.100000000000001" customHeight="1" x14ac:dyDescent="0.3">
      <c r="A61" s="6">
        <v>61</v>
      </c>
      <c r="B61" s="50">
        <v>1608468</v>
      </c>
      <c r="C61" s="50">
        <v>1253172</v>
      </c>
      <c r="D61" s="6" t="s">
        <v>97</v>
      </c>
      <c r="E61" s="6" t="s">
        <v>330</v>
      </c>
      <c r="F61" s="6" t="s">
        <v>98</v>
      </c>
      <c r="G61" s="6" t="s">
        <v>98</v>
      </c>
      <c r="H61" s="6" t="s">
        <v>342</v>
      </c>
      <c r="I61" s="6" t="s">
        <v>170</v>
      </c>
      <c r="J61" s="6" t="s">
        <v>138</v>
      </c>
      <c r="K61" s="6"/>
      <c r="L61" s="6"/>
      <c r="M61" s="9" t="s">
        <v>171</v>
      </c>
      <c r="N61" s="6" t="s">
        <v>145</v>
      </c>
      <c r="O61" s="15" t="s">
        <v>299</v>
      </c>
      <c r="P61" s="6">
        <v>21999</v>
      </c>
      <c r="Q61" s="19" t="s">
        <v>12</v>
      </c>
      <c r="R61" s="8">
        <v>45549</v>
      </c>
      <c r="S61" s="8">
        <v>45616</v>
      </c>
      <c r="T61" s="8"/>
      <c r="U61" s="8"/>
      <c r="V61" s="8"/>
      <c r="W61" s="7"/>
      <c r="X61" s="8" t="s">
        <v>268</v>
      </c>
      <c r="Y61" s="6" t="s">
        <v>266</v>
      </c>
    </row>
    <row r="62" spans="1:25" ht="20.100000000000001" customHeight="1" x14ac:dyDescent="0.3">
      <c r="A62" s="9">
        <v>62</v>
      </c>
      <c r="B62" s="53">
        <v>1654554</v>
      </c>
      <c r="C62" s="53">
        <v>1264469</v>
      </c>
      <c r="D62" s="9" t="s">
        <v>106</v>
      </c>
      <c r="E62" s="9" t="s">
        <v>330</v>
      </c>
      <c r="F62" s="9" t="s">
        <v>59</v>
      </c>
      <c r="G62" s="40" t="s">
        <v>319</v>
      </c>
      <c r="H62" s="40" t="s">
        <v>342</v>
      </c>
      <c r="I62" s="16" t="s">
        <v>127</v>
      </c>
      <c r="J62" s="9" t="s">
        <v>139</v>
      </c>
      <c r="K62" s="16" t="s">
        <v>129</v>
      </c>
      <c r="L62" s="16">
        <v>100</v>
      </c>
      <c r="M62" s="9" t="s">
        <v>145</v>
      </c>
      <c r="N62" s="16" t="s">
        <v>269</v>
      </c>
      <c r="O62" s="9" t="s">
        <v>107</v>
      </c>
      <c r="P62" s="16">
        <v>12399</v>
      </c>
      <c r="Q62" s="10" t="s">
        <v>12</v>
      </c>
      <c r="R62" s="18">
        <v>45549</v>
      </c>
      <c r="S62" s="18">
        <v>45616</v>
      </c>
      <c r="T62" s="11">
        <v>45566</v>
      </c>
      <c r="U62" s="69">
        <f t="shared" ref="U62:U72" si="12">IF(S62&lt;=T62,1,0)</f>
        <v>0</v>
      </c>
      <c r="V62" s="69" t="str">
        <f t="shared" ref="V62:V72" si="13">IF(U62=0,"متاخر","في الموعد")</f>
        <v>متاخر</v>
      </c>
      <c r="W62" s="57">
        <f t="shared" ref="W62:W72" si="14">T62-R62</f>
        <v>17</v>
      </c>
      <c r="X62" s="40" t="s">
        <v>20</v>
      </c>
      <c r="Y62" s="40" t="s">
        <v>165</v>
      </c>
    </row>
    <row r="63" spans="1:25" ht="20.100000000000001" customHeight="1" x14ac:dyDescent="0.3">
      <c r="A63" s="9">
        <v>63</v>
      </c>
      <c r="B63" s="53">
        <v>1644504</v>
      </c>
      <c r="C63" s="53">
        <v>1261644</v>
      </c>
      <c r="D63" s="9" t="s">
        <v>113</v>
      </c>
      <c r="E63" s="9" t="s">
        <v>330</v>
      </c>
      <c r="F63" s="9" t="s">
        <v>52</v>
      </c>
      <c r="G63" s="40" t="s">
        <v>52</v>
      </c>
      <c r="H63" s="40" t="s">
        <v>342</v>
      </c>
      <c r="I63" s="9" t="s">
        <v>170</v>
      </c>
      <c r="J63" s="9" t="s">
        <v>138</v>
      </c>
      <c r="K63" s="16"/>
      <c r="L63" s="16"/>
      <c r="M63" s="9" t="s">
        <v>171</v>
      </c>
      <c r="N63" s="9" t="s">
        <v>145</v>
      </c>
      <c r="O63" s="37" t="s">
        <v>299</v>
      </c>
      <c r="P63" s="16">
        <v>21999</v>
      </c>
      <c r="Q63" s="10" t="s">
        <v>12</v>
      </c>
      <c r="R63" s="11">
        <v>45549</v>
      </c>
      <c r="S63" s="11">
        <v>45616</v>
      </c>
      <c r="T63" s="11">
        <v>45574</v>
      </c>
      <c r="U63" s="69">
        <f t="shared" si="12"/>
        <v>0</v>
      </c>
      <c r="V63" s="69" t="str">
        <f t="shared" si="13"/>
        <v>متاخر</v>
      </c>
      <c r="W63" s="57">
        <f t="shared" si="14"/>
        <v>25</v>
      </c>
      <c r="X63" s="9" t="s">
        <v>267</v>
      </c>
      <c r="Y63" s="40" t="s">
        <v>165</v>
      </c>
    </row>
    <row r="64" spans="1:25" ht="20.100000000000001" customHeight="1" x14ac:dyDescent="0.3">
      <c r="A64" s="9">
        <v>64</v>
      </c>
      <c r="B64" s="53">
        <v>1655447</v>
      </c>
      <c r="C64" s="53">
        <v>1264684</v>
      </c>
      <c r="D64" s="9" t="s">
        <v>116</v>
      </c>
      <c r="E64" s="9" t="s">
        <v>330</v>
      </c>
      <c r="F64" s="9" t="s">
        <v>47</v>
      </c>
      <c r="G64" s="40" t="s">
        <v>310</v>
      </c>
      <c r="H64" s="40" t="s">
        <v>342</v>
      </c>
      <c r="I64" s="9" t="s">
        <v>127</v>
      </c>
      <c r="J64" s="9" t="s">
        <v>139</v>
      </c>
      <c r="K64" s="9" t="s">
        <v>129</v>
      </c>
      <c r="L64" s="9">
        <v>80</v>
      </c>
      <c r="M64" s="9" t="s">
        <v>140</v>
      </c>
      <c r="N64" s="9" t="s">
        <v>140</v>
      </c>
      <c r="O64" s="37" t="s">
        <v>287</v>
      </c>
      <c r="P64" s="9">
        <v>10999</v>
      </c>
      <c r="Q64" s="10" t="s">
        <v>96</v>
      </c>
      <c r="R64" s="11">
        <v>45549</v>
      </c>
      <c r="S64" s="11">
        <v>45616</v>
      </c>
      <c r="T64" s="11">
        <v>45581</v>
      </c>
      <c r="U64" s="69">
        <f t="shared" si="12"/>
        <v>0</v>
      </c>
      <c r="V64" s="69" t="str">
        <f t="shared" si="13"/>
        <v>متاخر</v>
      </c>
      <c r="W64" s="57">
        <f t="shared" si="14"/>
        <v>32</v>
      </c>
      <c r="X64" s="9" t="s">
        <v>267</v>
      </c>
      <c r="Y64" s="40" t="s">
        <v>165</v>
      </c>
    </row>
    <row r="65" spans="1:25" ht="20.100000000000001" customHeight="1" x14ac:dyDescent="0.3">
      <c r="A65" s="9">
        <v>65</v>
      </c>
      <c r="B65" s="53">
        <v>1679731</v>
      </c>
      <c r="C65" s="53">
        <v>1271291</v>
      </c>
      <c r="D65" s="41" t="s">
        <v>156</v>
      </c>
      <c r="E65" s="41" t="s">
        <v>330</v>
      </c>
      <c r="F65" s="41" t="s">
        <v>157</v>
      </c>
      <c r="G65" s="40" t="s">
        <v>326</v>
      </c>
      <c r="H65" s="40" t="s">
        <v>342</v>
      </c>
      <c r="I65" s="9" t="s">
        <v>127</v>
      </c>
      <c r="J65" s="9" t="s">
        <v>139</v>
      </c>
      <c r="K65" s="9" t="s">
        <v>132</v>
      </c>
      <c r="L65" s="9">
        <v>80</v>
      </c>
      <c r="M65" s="9" t="s">
        <v>140</v>
      </c>
      <c r="N65" s="9" t="s">
        <v>140</v>
      </c>
      <c r="O65" s="38" t="s">
        <v>73</v>
      </c>
      <c r="P65" s="9">
        <v>10999</v>
      </c>
      <c r="Q65" s="10" t="s">
        <v>96</v>
      </c>
      <c r="R65" s="11">
        <v>45550</v>
      </c>
      <c r="S65" s="11">
        <v>45616</v>
      </c>
      <c r="T65" s="11">
        <v>45581</v>
      </c>
      <c r="U65" s="69">
        <f t="shared" si="12"/>
        <v>0</v>
      </c>
      <c r="V65" s="69" t="str">
        <f t="shared" si="13"/>
        <v>متاخر</v>
      </c>
      <c r="W65" s="57">
        <f>T65-R65</f>
        <v>31</v>
      </c>
      <c r="X65" s="9" t="s">
        <v>267</v>
      </c>
      <c r="Y65" s="40" t="s">
        <v>165</v>
      </c>
    </row>
    <row r="66" spans="1:25" ht="20.100000000000001" customHeight="1" x14ac:dyDescent="0.3">
      <c r="A66" s="9">
        <v>66</v>
      </c>
      <c r="B66" s="53">
        <v>1679739</v>
      </c>
      <c r="C66" s="53">
        <v>1271291</v>
      </c>
      <c r="D66" s="41" t="s">
        <v>156</v>
      </c>
      <c r="E66" s="41" t="s">
        <v>330</v>
      </c>
      <c r="F66" s="41" t="s">
        <v>157</v>
      </c>
      <c r="G66" s="40" t="s">
        <v>326</v>
      </c>
      <c r="H66" s="40" t="s">
        <v>342</v>
      </c>
      <c r="I66" s="9" t="s">
        <v>127</v>
      </c>
      <c r="J66" s="9" t="s">
        <v>139</v>
      </c>
      <c r="K66" s="9" t="s">
        <v>132</v>
      </c>
      <c r="L66" s="9">
        <v>80</v>
      </c>
      <c r="M66" s="9" t="s">
        <v>140</v>
      </c>
      <c r="N66" s="9" t="s">
        <v>140</v>
      </c>
      <c r="O66" s="38" t="s">
        <v>73</v>
      </c>
      <c r="P66" s="9">
        <v>10999</v>
      </c>
      <c r="Q66" s="10" t="s">
        <v>96</v>
      </c>
      <c r="R66" s="11">
        <v>45550</v>
      </c>
      <c r="S66" s="11">
        <v>45616</v>
      </c>
      <c r="T66" s="11">
        <v>45581</v>
      </c>
      <c r="U66" s="69">
        <f t="shared" si="12"/>
        <v>0</v>
      </c>
      <c r="V66" s="69" t="str">
        <f t="shared" si="13"/>
        <v>متاخر</v>
      </c>
      <c r="W66" s="57">
        <f t="shared" si="14"/>
        <v>31</v>
      </c>
      <c r="X66" s="9" t="s">
        <v>267</v>
      </c>
      <c r="Y66" s="40" t="s">
        <v>165</v>
      </c>
    </row>
    <row r="67" spans="1:25" ht="20.100000000000001" customHeight="1" x14ac:dyDescent="0.3">
      <c r="A67" s="9">
        <v>67</v>
      </c>
      <c r="B67" s="53">
        <v>1670668</v>
      </c>
      <c r="C67" s="53">
        <v>1268695</v>
      </c>
      <c r="D67" s="41" t="s">
        <v>158</v>
      </c>
      <c r="E67" s="41" t="s">
        <v>330</v>
      </c>
      <c r="F67" s="41" t="s">
        <v>159</v>
      </c>
      <c r="G67" s="40" t="s">
        <v>159</v>
      </c>
      <c r="H67" s="40" t="s">
        <v>342</v>
      </c>
      <c r="I67" s="9" t="s">
        <v>170</v>
      </c>
      <c r="J67" s="9" t="s">
        <v>138</v>
      </c>
      <c r="K67" s="9"/>
      <c r="L67" s="9"/>
      <c r="M67" s="9" t="s">
        <v>171</v>
      </c>
      <c r="N67" s="9" t="s">
        <v>145</v>
      </c>
      <c r="O67" s="37" t="s">
        <v>299</v>
      </c>
      <c r="P67" s="9">
        <v>21999</v>
      </c>
      <c r="Q67" s="10" t="s">
        <v>96</v>
      </c>
      <c r="R67" s="11">
        <v>45550</v>
      </c>
      <c r="S67" s="11">
        <v>45616</v>
      </c>
      <c r="T67" s="11">
        <v>45584</v>
      </c>
      <c r="U67" s="69">
        <f t="shared" si="12"/>
        <v>0</v>
      </c>
      <c r="V67" s="69" t="str">
        <f t="shared" si="13"/>
        <v>متاخر</v>
      </c>
      <c r="W67" s="57">
        <f t="shared" si="14"/>
        <v>34</v>
      </c>
      <c r="X67" s="9" t="s">
        <v>267</v>
      </c>
      <c r="Y67" s="40" t="s">
        <v>165</v>
      </c>
    </row>
    <row r="68" spans="1:25" ht="20.100000000000001" customHeight="1" x14ac:dyDescent="0.3">
      <c r="A68" s="40">
        <v>68</v>
      </c>
      <c r="B68" s="16">
        <v>1416625</v>
      </c>
      <c r="C68" s="16">
        <v>1205197</v>
      </c>
      <c r="D68" s="40" t="s">
        <v>164</v>
      </c>
      <c r="E68" s="40" t="s">
        <v>330</v>
      </c>
      <c r="F68" s="40" t="s">
        <v>123</v>
      </c>
      <c r="G68" s="40" t="s">
        <v>123</v>
      </c>
      <c r="H68" s="40" t="s">
        <v>342</v>
      </c>
      <c r="I68" s="9" t="s">
        <v>230</v>
      </c>
      <c r="J68" s="9" t="s">
        <v>160</v>
      </c>
      <c r="K68" s="40"/>
      <c r="L68" s="40"/>
      <c r="M68" s="40"/>
      <c r="N68" s="40"/>
      <c r="O68" s="9" t="s">
        <v>48</v>
      </c>
      <c r="P68" s="40">
        <v>7849</v>
      </c>
      <c r="Q68" s="44">
        <v>6306</v>
      </c>
      <c r="R68" s="11">
        <v>45551</v>
      </c>
      <c r="S68" s="11">
        <v>45595</v>
      </c>
      <c r="T68" s="46">
        <v>45610</v>
      </c>
      <c r="U68" s="69">
        <f t="shared" si="12"/>
        <v>1</v>
      </c>
      <c r="V68" s="69" t="str">
        <f t="shared" si="13"/>
        <v>في الموعد</v>
      </c>
      <c r="W68" s="57">
        <f t="shared" si="14"/>
        <v>59</v>
      </c>
      <c r="X68" s="40" t="s">
        <v>20</v>
      </c>
      <c r="Y68" s="40" t="s">
        <v>165</v>
      </c>
    </row>
    <row r="69" spans="1:25" ht="20.100000000000001" customHeight="1" x14ac:dyDescent="0.3">
      <c r="A69" s="9">
        <v>69</v>
      </c>
      <c r="B69" s="16"/>
      <c r="C69" s="16"/>
      <c r="D69" s="9" t="s">
        <v>67</v>
      </c>
      <c r="E69" s="9" t="s">
        <v>331</v>
      </c>
      <c r="F69" s="9" t="s">
        <v>166</v>
      </c>
      <c r="G69" s="9" t="s">
        <v>322</v>
      </c>
      <c r="H69" s="9" t="s">
        <v>344</v>
      </c>
      <c r="I69" s="9" t="s">
        <v>127</v>
      </c>
      <c r="J69" s="9" t="s">
        <v>139</v>
      </c>
      <c r="K69" s="9" t="s">
        <v>132</v>
      </c>
      <c r="L69" s="9">
        <v>80</v>
      </c>
      <c r="M69" s="9" t="s">
        <v>140</v>
      </c>
      <c r="N69" s="9" t="s">
        <v>140</v>
      </c>
      <c r="O69" s="38" t="s">
        <v>73</v>
      </c>
      <c r="P69" s="9">
        <v>5074</v>
      </c>
      <c r="Q69" s="10" t="s">
        <v>69</v>
      </c>
      <c r="R69" s="11">
        <v>45556</v>
      </c>
      <c r="S69" s="11">
        <v>45570</v>
      </c>
      <c r="T69" s="11">
        <v>45577</v>
      </c>
      <c r="U69" s="69">
        <f t="shared" si="12"/>
        <v>1</v>
      </c>
      <c r="V69" s="69" t="str">
        <f t="shared" si="13"/>
        <v>في الموعد</v>
      </c>
      <c r="W69" s="57">
        <f t="shared" si="14"/>
        <v>21</v>
      </c>
      <c r="X69" s="9" t="s">
        <v>267</v>
      </c>
      <c r="Y69" s="40" t="s">
        <v>165</v>
      </c>
    </row>
    <row r="70" spans="1:25" ht="20.100000000000001" customHeight="1" x14ac:dyDescent="0.3">
      <c r="A70" s="9">
        <v>70</v>
      </c>
      <c r="B70" s="16">
        <v>2514</v>
      </c>
      <c r="C70" s="16">
        <v>2514</v>
      </c>
      <c r="D70" s="9" t="s">
        <v>30</v>
      </c>
      <c r="E70" s="9" t="s">
        <v>331</v>
      </c>
      <c r="F70" s="9" t="s">
        <v>31</v>
      </c>
      <c r="G70" s="9" t="s">
        <v>34</v>
      </c>
      <c r="H70" s="9" t="s">
        <v>32</v>
      </c>
      <c r="I70" s="9" t="s">
        <v>127</v>
      </c>
      <c r="J70" s="9" t="s">
        <v>139</v>
      </c>
      <c r="K70" s="9" t="s">
        <v>131</v>
      </c>
      <c r="L70" s="9">
        <v>100</v>
      </c>
      <c r="M70" s="9" t="s">
        <v>167</v>
      </c>
      <c r="N70" s="9"/>
      <c r="O70" s="9" t="s">
        <v>281</v>
      </c>
      <c r="P70" s="9">
        <v>6250</v>
      </c>
      <c r="Q70" s="10" t="s">
        <v>69</v>
      </c>
      <c r="R70" s="11">
        <v>45558</v>
      </c>
      <c r="S70" s="11">
        <v>45573</v>
      </c>
      <c r="T70" s="11">
        <v>45582</v>
      </c>
      <c r="U70" s="69">
        <f t="shared" si="12"/>
        <v>1</v>
      </c>
      <c r="V70" s="69" t="str">
        <f t="shared" si="13"/>
        <v>في الموعد</v>
      </c>
      <c r="W70" s="57">
        <f t="shared" si="14"/>
        <v>24</v>
      </c>
      <c r="X70" s="9" t="s">
        <v>267</v>
      </c>
      <c r="Y70" s="40" t="s">
        <v>165</v>
      </c>
    </row>
    <row r="71" spans="1:25" ht="20.100000000000001" customHeight="1" x14ac:dyDescent="0.3">
      <c r="A71" s="9">
        <v>71</v>
      </c>
      <c r="B71" s="16">
        <v>2514</v>
      </c>
      <c r="C71" s="16">
        <v>2514</v>
      </c>
      <c r="D71" s="9" t="s">
        <v>30</v>
      </c>
      <c r="E71" s="9" t="s">
        <v>331</v>
      </c>
      <c r="F71" s="9" t="s">
        <v>31</v>
      </c>
      <c r="G71" s="9" t="s">
        <v>34</v>
      </c>
      <c r="H71" s="9" t="s">
        <v>32</v>
      </c>
      <c r="I71" s="9" t="s">
        <v>127</v>
      </c>
      <c r="J71" s="9" t="s">
        <v>139</v>
      </c>
      <c r="K71" s="9" t="s">
        <v>131</v>
      </c>
      <c r="L71" s="9">
        <v>100</v>
      </c>
      <c r="M71" s="9" t="s">
        <v>167</v>
      </c>
      <c r="N71" s="9"/>
      <c r="O71" s="9" t="s">
        <v>281</v>
      </c>
      <c r="P71" s="9">
        <v>6250</v>
      </c>
      <c r="Q71" s="10" t="s">
        <v>69</v>
      </c>
      <c r="R71" s="11">
        <v>45558</v>
      </c>
      <c r="S71" s="11">
        <v>45573</v>
      </c>
      <c r="T71" s="11">
        <v>45582</v>
      </c>
      <c r="U71" s="69">
        <f t="shared" si="12"/>
        <v>1</v>
      </c>
      <c r="V71" s="69" t="str">
        <f t="shared" si="13"/>
        <v>في الموعد</v>
      </c>
      <c r="W71" s="57">
        <f t="shared" si="14"/>
        <v>24</v>
      </c>
      <c r="X71" s="9" t="s">
        <v>267</v>
      </c>
      <c r="Y71" s="40" t="s">
        <v>165</v>
      </c>
    </row>
    <row r="72" spans="1:25" ht="20.100000000000001" customHeight="1" x14ac:dyDescent="0.3">
      <c r="A72" s="9">
        <v>72</v>
      </c>
      <c r="B72" s="16">
        <v>1706794</v>
      </c>
      <c r="C72" s="16">
        <v>1281428</v>
      </c>
      <c r="D72" s="9" t="s">
        <v>168</v>
      </c>
      <c r="E72" s="9" t="s">
        <v>330</v>
      </c>
      <c r="F72" s="9" t="s">
        <v>31</v>
      </c>
      <c r="G72" s="40" t="s">
        <v>34</v>
      </c>
      <c r="H72" s="40" t="s">
        <v>342</v>
      </c>
      <c r="I72" s="9" t="s">
        <v>127</v>
      </c>
      <c r="J72" s="9" t="s">
        <v>130</v>
      </c>
      <c r="K72" s="9" t="s">
        <v>150</v>
      </c>
      <c r="L72" s="9">
        <v>120</v>
      </c>
      <c r="M72" s="9" t="s">
        <v>140</v>
      </c>
      <c r="N72" s="9"/>
      <c r="O72" s="9" t="s">
        <v>291</v>
      </c>
      <c r="P72" s="9">
        <v>8943</v>
      </c>
      <c r="Q72" s="10">
        <v>9033</v>
      </c>
      <c r="R72" s="11">
        <v>45561</v>
      </c>
      <c r="S72" s="11">
        <v>45606</v>
      </c>
      <c r="T72" s="11">
        <v>45575</v>
      </c>
      <c r="U72" s="69">
        <f t="shared" si="12"/>
        <v>0</v>
      </c>
      <c r="V72" s="69" t="str">
        <f t="shared" si="13"/>
        <v>متاخر</v>
      </c>
      <c r="W72" s="57">
        <f t="shared" si="14"/>
        <v>14</v>
      </c>
      <c r="X72" s="9" t="s">
        <v>267</v>
      </c>
      <c r="Y72" s="40" t="s">
        <v>165</v>
      </c>
    </row>
    <row r="73" spans="1:25" ht="20.100000000000001" customHeight="1" x14ac:dyDescent="0.3">
      <c r="A73" s="6">
        <v>73</v>
      </c>
      <c r="B73" s="20">
        <v>1704621</v>
      </c>
      <c r="C73" s="20">
        <v>1280197</v>
      </c>
      <c r="D73" s="6" t="s">
        <v>169</v>
      </c>
      <c r="E73" s="6" t="s">
        <v>330</v>
      </c>
      <c r="F73" s="6" t="s">
        <v>28</v>
      </c>
      <c r="G73" s="6" t="s">
        <v>361</v>
      </c>
      <c r="H73" s="6" t="s">
        <v>342</v>
      </c>
      <c r="I73" s="6" t="s">
        <v>230</v>
      </c>
      <c r="J73" s="6" t="s">
        <v>162</v>
      </c>
      <c r="K73" s="6"/>
      <c r="L73" s="6"/>
      <c r="M73" s="6"/>
      <c r="N73" s="6"/>
      <c r="O73" s="15" t="s">
        <v>306</v>
      </c>
      <c r="P73" s="6">
        <v>8349</v>
      </c>
      <c r="Q73" s="14">
        <v>8433</v>
      </c>
      <c r="R73" s="8">
        <v>45561</v>
      </c>
      <c r="S73" s="8">
        <v>45606</v>
      </c>
      <c r="T73" s="8"/>
      <c r="U73" s="8"/>
      <c r="V73" s="8"/>
      <c r="W73" s="7"/>
      <c r="X73" s="8" t="s">
        <v>268</v>
      </c>
      <c r="Y73" s="6" t="s">
        <v>266</v>
      </c>
    </row>
    <row r="74" spans="1:25" ht="20.100000000000001" customHeight="1" x14ac:dyDescent="0.3">
      <c r="A74" s="9">
        <v>74</v>
      </c>
      <c r="B74" s="16">
        <v>240078066</v>
      </c>
      <c r="C74" s="16"/>
      <c r="D74" s="9" t="s">
        <v>22</v>
      </c>
      <c r="E74" s="9" t="s">
        <v>331</v>
      </c>
      <c r="F74" s="9" t="s">
        <v>187</v>
      </c>
      <c r="G74" s="9" t="s">
        <v>187</v>
      </c>
      <c r="H74" s="9" t="s">
        <v>22</v>
      </c>
      <c r="I74" s="9" t="s">
        <v>170</v>
      </c>
      <c r="J74" s="9" t="s">
        <v>138</v>
      </c>
      <c r="K74" s="9"/>
      <c r="L74" s="9"/>
      <c r="M74" s="9" t="s">
        <v>171</v>
      </c>
      <c r="N74" s="9" t="s">
        <v>181</v>
      </c>
      <c r="O74" s="37" t="s">
        <v>300</v>
      </c>
      <c r="P74" s="9">
        <v>14950</v>
      </c>
      <c r="Q74" s="10" t="s">
        <v>12</v>
      </c>
      <c r="R74" s="11">
        <v>45561</v>
      </c>
      <c r="S74" s="11">
        <v>45579</v>
      </c>
      <c r="T74" s="11">
        <v>45578</v>
      </c>
      <c r="U74" s="69">
        <f>IF(S74&lt;=T74,1,0)</f>
        <v>0</v>
      </c>
      <c r="V74" s="69" t="str">
        <f>IF(U74=0,"متاخر","في الموعد")</f>
        <v>متاخر</v>
      </c>
      <c r="W74" s="57">
        <f>T74-R74</f>
        <v>17</v>
      </c>
      <c r="X74" s="9" t="s">
        <v>267</v>
      </c>
      <c r="Y74" s="40" t="s">
        <v>165</v>
      </c>
    </row>
    <row r="75" spans="1:25" ht="20.100000000000001" customHeight="1" x14ac:dyDescent="0.3">
      <c r="A75" s="5">
        <v>75</v>
      </c>
      <c r="B75" s="55">
        <v>240077789</v>
      </c>
      <c r="C75" s="12"/>
      <c r="D75" s="5" t="s">
        <v>22</v>
      </c>
      <c r="E75" s="5" t="s">
        <v>331</v>
      </c>
      <c r="F75" s="5"/>
      <c r="G75" s="5" t="s">
        <v>361</v>
      </c>
      <c r="H75" s="5" t="s">
        <v>22</v>
      </c>
      <c r="I75" s="5" t="s">
        <v>127</v>
      </c>
      <c r="J75" s="5" t="s">
        <v>139</v>
      </c>
      <c r="K75" s="5" t="s">
        <v>131</v>
      </c>
      <c r="L75" s="5">
        <v>100</v>
      </c>
      <c r="M75" s="9" t="s">
        <v>171</v>
      </c>
      <c r="N75" s="5"/>
      <c r="O75" s="5" t="s">
        <v>278</v>
      </c>
      <c r="P75" s="5">
        <v>9208</v>
      </c>
      <c r="Q75" s="7">
        <v>9608</v>
      </c>
      <c r="R75" s="8">
        <v>45561</v>
      </c>
      <c r="S75" s="8">
        <v>45579</v>
      </c>
      <c r="T75" s="5"/>
      <c r="U75" s="5"/>
      <c r="V75" s="5"/>
      <c r="W75" s="7"/>
      <c r="X75" s="5" t="s">
        <v>268</v>
      </c>
      <c r="Y75" s="6" t="s">
        <v>266</v>
      </c>
    </row>
    <row r="76" spans="1:25" ht="20.100000000000001" customHeight="1" x14ac:dyDescent="0.3">
      <c r="A76" s="9">
        <v>76</v>
      </c>
      <c r="B76" s="54">
        <v>240078390</v>
      </c>
      <c r="C76" s="16"/>
      <c r="D76" s="9" t="s">
        <v>22</v>
      </c>
      <c r="E76" s="9" t="s">
        <v>331</v>
      </c>
      <c r="F76" s="9"/>
      <c r="G76" s="9" t="s">
        <v>361</v>
      </c>
      <c r="H76" s="9" t="s">
        <v>22</v>
      </c>
      <c r="I76" s="9" t="s">
        <v>127</v>
      </c>
      <c r="J76" s="9" t="s">
        <v>130</v>
      </c>
      <c r="K76" s="9" t="s">
        <v>133</v>
      </c>
      <c r="L76" s="9">
        <v>120</v>
      </c>
      <c r="M76" s="9" t="s">
        <v>140</v>
      </c>
      <c r="N76" s="9"/>
      <c r="O76" s="37" t="s">
        <v>55</v>
      </c>
      <c r="P76" s="9">
        <v>7433</v>
      </c>
      <c r="Q76" s="10" t="s">
        <v>12</v>
      </c>
      <c r="R76" s="11">
        <v>45564</v>
      </c>
      <c r="S76" s="11">
        <v>45585</v>
      </c>
      <c r="T76" s="11">
        <v>45586</v>
      </c>
      <c r="U76" s="69">
        <f t="shared" ref="U76:U81" si="15">IF(S76&lt;=T76,1,0)</f>
        <v>1</v>
      </c>
      <c r="V76" s="69" t="str">
        <f t="shared" ref="V76:V81" si="16">IF(U76=0,"متاخر","في الموعد")</f>
        <v>في الموعد</v>
      </c>
      <c r="W76" s="57">
        <f t="shared" ref="W76:W81" si="17">T76-R76</f>
        <v>22</v>
      </c>
      <c r="X76" s="9" t="s">
        <v>267</v>
      </c>
      <c r="Y76" s="40" t="s">
        <v>165</v>
      </c>
    </row>
    <row r="77" spans="1:25" ht="20.100000000000001" customHeight="1" x14ac:dyDescent="0.3">
      <c r="A77" s="9">
        <v>77</v>
      </c>
      <c r="B77" s="16"/>
      <c r="C77" s="16"/>
      <c r="D77" s="9" t="s">
        <v>67</v>
      </c>
      <c r="E77" s="9" t="s">
        <v>331</v>
      </c>
      <c r="F77" s="9" t="s">
        <v>166</v>
      </c>
      <c r="G77" s="9" t="s">
        <v>322</v>
      </c>
      <c r="H77" s="9" t="s">
        <v>344</v>
      </c>
      <c r="I77" s="9" t="s">
        <v>127</v>
      </c>
      <c r="J77" s="9" t="s">
        <v>130</v>
      </c>
      <c r="K77" s="9" t="s">
        <v>150</v>
      </c>
      <c r="L77" s="9">
        <v>120</v>
      </c>
      <c r="M77" s="9" t="s">
        <v>140</v>
      </c>
      <c r="N77" s="9"/>
      <c r="O77" s="9" t="s">
        <v>291</v>
      </c>
      <c r="P77" s="9">
        <v>4020</v>
      </c>
      <c r="Q77" s="10" t="s">
        <v>69</v>
      </c>
      <c r="R77" s="11">
        <v>45564</v>
      </c>
      <c r="S77" s="11">
        <v>45577</v>
      </c>
      <c r="T77" s="11">
        <v>45577</v>
      </c>
      <c r="U77" s="69">
        <f t="shared" si="15"/>
        <v>1</v>
      </c>
      <c r="V77" s="69" t="str">
        <f t="shared" si="16"/>
        <v>في الموعد</v>
      </c>
      <c r="W77" s="57">
        <f t="shared" si="17"/>
        <v>13</v>
      </c>
      <c r="X77" s="9" t="s">
        <v>267</v>
      </c>
      <c r="Y77" s="40" t="s">
        <v>165</v>
      </c>
    </row>
    <row r="78" spans="1:25" ht="20.100000000000001" customHeight="1" x14ac:dyDescent="0.3">
      <c r="A78" s="9">
        <v>78</v>
      </c>
      <c r="B78" s="16"/>
      <c r="C78" s="16"/>
      <c r="D78" s="9" t="s">
        <v>172</v>
      </c>
      <c r="E78" s="9" t="s">
        <v>330</v>
      </c>
      <c r="F78" s="9" t="s">
        <v>173</v>
      </c>
      <c r="G78" s="9" t="s">
        <v>174</v>
      </c>
      <c r="H78" s="9" t="s">
        <v>174</v>
      </c>
      <c r="I78" s="9" t="s">
        <v>127</v>
      </c>
      <c r="J78" s="9" t="s">
        <v>139</v>
      </c>
      <c r="K78" s="9" t="s">
        <v>175</v>
      </c>
      <c r="L78" s="9">
        <v>100</v>
      </c>
      <c r="M78" s="9" t="s">
        <v>176</v>
      </c>
      <c r="N78" s="9"/>
      <c r="O78" s="9" t="s">
        <v>275</v>
      </c>
      <c r="P78" s="42">
        <v>8544.9054400000005</v>
      </c>
      <c r="Q78" s="10"/>
      <c r="R78" s="11">
        <v>45566</v>
      </c>
      <c r="S78" s="11">
        <v>45574</v>
      </c>
      <c r="T78" s="11">
        <v>45574</v>
      </c>
      <c r="U78" s="69">
        <f t="shared" si="15"/>
        <v>1</v>
      </c>
      <c r="V78" s="69" t="str">
        <f t="shared" si="16"/>
        <v>في الموعد</v>
      </c>
      <c r="W78" s="57">
        <f t="shared" si="17"/>
        <v>8</v>
      </c>
      <c r="X78" s="9" t="s">
        <v>186</v>
      </c>
      <c r="Y78" s="40" t="s">
        <v>165</v>
      </c>
    </row>
    <row r="79" spans="1:25" ht="20.100000000000001" customHeight="1" x14ac:dyDescent="0.4">
      <c r="A79" s="9">
        <v>79</v>
      </c>
      <c r="B79" s="16"/>
      <c r="C79" s="16"/>
      <c r="D79" s="9" t="s">
        <v>172</v>
      </c>
      <c r="E79" s="9" t="s">
        <v>330</v>
      </c>
      <c r="F79" s="9" t="s">
        <v>173</v>
      </c>
      <c r="G79" s="9" t="s">
        <v>174</v>
      </c>
      <c r="H79" s="9" t="s">
        <v>174</v>
      </c>
      <c r="I79" s="9" t="s">
        <v>127</v>
      </c>
      <c r="J79" s="9" t="s">
        <v>128</v>
      </c>
      <c r="K79" s="9"/>
      <c r="L79" s="9"/>
      <c r="M79" s="9" t="s">
        <v>171</v>
      </c>
      <c r="N79" s="9" t="s">
        <v>179</v>
      </c>
      <c r="O79" s="9" t="s">
        <v>295</v>
      </c>
      <c r="P79" s="43">
        <v>4600</v>
      </c>
      <c r="Q79" s="10"/>
      <c r="R79" s="11">
        <v>45566</v>
      </c>
      <c r="S79" s="11">
        <v>45574</v>
      </c>
      <c r="T79" s="11">
        <v>45574</v>
      </c>
      <c r="U79" s="69">
        <f t="shared" si="15"/>
        <v>1</v>
      </c>
      <c r="V79" s="69" t="str">
        <f t="shared" si="16"/>
        <v>في الموعد</v>
      </c>
      <c r="W79" s="57">
        <f t="shared" si="17"/>
        <v>8</v>
      </c>
      <c r="X79" s="9" t="s">
        <v>186</v>
      </c>
      <c r="Y79" s="40" t="s">
        <v>165</v>
      </c>
    </row>
    <row r="80" spans="1:25" ht="20.100000000000001" customHeight="1" x14ac:dyDescent="0.3">
      <c r="A80" s="9">
        <v>80</v>
      </c>
      <c r="B80" s="16"/>
      <c r="C80" s="16"/>
      <c r="D80" s="9" t="s">
        <v>172</v>
      </c>
      <c r="E80" s="9" t="s">
        <v>330</v>
      </c>
      <c r="F80" s="9" t="s">
        <v>173</v>
      </c>
      <c r="G80" s="9" t="s">
        <v>174</v>
      </c>
      <c r="H80" s="9" t="s">
        <v>174</v>
      </c>
      <c r="I80" s="9" t="s">
        <v>170</v>
      </c>
      <c r="J80" s="9" t="s">
        <v>177</v>
      </c>
      <c r="K80" s="9"/>
      <c r="L80" s="9"/>
      <c r="M80" s="9" t="s">
        <v>171</v>
      </c>
      <c r="N80" s="9" t="s">
        <v>178</v>
      </c>
      <c r="O80" s="9" t="s">
        <v>305</v>
      </c>
      <c r="P80" s="9">
        <v>10000</v>
      </c>
      <c r="Q80" s="10"/>
      <c r="R80" s="11">
        <v>45566</v>
      </c>
      <c r="S80" s="11">
        <v>45574</v>
      </c>
      <c r="T80" s="11">
        <v>45574</v>
      </c>
      <c r="U80" s="69">
        <f t="shared" si="15"/>
        <v>1</v>
      </c>
      <c r="V80" s="69" t="str">
        <f t="shared" si="16"/>
        <v>في الموعد</v>
      </c>
      <c r="W80" s="57">
        <f t="shared" si="17"/>
        <v>8</v>
      </c>
      <c r="X80" s="9" t="s">
        <v>186</v>
      </c>
      <c r="Y80" s="40" t="s">
        <v>165</v>
      </c>
    </row>
    <row r="81" spans="1:25" ht="20.100000000000001" customHeight="1" x14ac:dyDescent="0.3">
      <c r="A81" s="9">
        <v>81</v>
      </c>
      <c r="B81" s="16"/>
      <c r="C81" s="16"/>
      <c r="D81" s="9" t="s">
        <v>172</v>
      </c>
      <c r="E81" s="9" t="s">
        <v>330</v>
      </c>
      <c r="F81" s="9" t="s">
        <v>173</v>
      </c>
      <c r="G81" s="9" t="s">
        <v>174</v>
      </c>
      <c r="H81" s="9" t="s">
        <v>174</v>
      </c>
      <c r="I81" s="9" t="s">
        <v>180</v>
      </c>
      <c r="J81" s="9"/>
      <c r="K81" s="9"/>
      <c r="L81" s="9"/>
      <c r="M81" s="9" t="s">
        <v>171</v>
      </c>
      <c r="N81" s="9" t="s">
        <v>181</v>
      </c>
      <c r="O81" s="9" t="s">
        <v>298</v>
      </c>
      <c r="P81" s="9"/>
      <c r="Q81" s="10"/>
      <c r="R81" s="11">
        <v>45566</v>
      </c>
      <c r="S81" s="11">
        <v>45574</v>
      </c>
      <c r="T81" s="11">
        <v>45574</v>
      </c>
      <c r="U81" s="69">
        <f t="shared" si="15"/>
        <v>1</v>
      </c>
      <c r="V81" s="69" t="str">
        <f t="shared" si="16"/>
        <v>في الموعد</v>
      </c>
      <c r="W81" s="57">
        <f t="shared" si="17"/>
        <v>8</v>
      </c>
      <c r="X81" s="9" t="s">
        <v>186</v>
      </c>
      <c r="Y81" s="40" t="s">
        <v>165</v>
      </c>
    </row>
    <row r="82" spans="1:25" ht="20.100000000000001" customHeight="1" x14ac:dyDescent="0.3">
      <c r="A82" s="5">
        <v>82</v>
      </c>
      <c r="B82" s="12">
        <v>1282228</v>
      </c>
      <c r="C82" s="12">
        <v>1708226</v>
      </c>
      <c r="D82" s="5" t="s">
        <v>182</v>
      </c>
      <c r="E82" s="5" t="s">
        <v>330</v>
      </c>
      <c r="F82" s="5" t="s">
        <v>183</v>
      </c>
      <c r="G82" s="5" t="s">
        <v>183</v>
      </c>
      <c r="H82" s="5" t="s">
        <v>342</v>
      </c>
      <c r="I82" s="5" t="s">
        <v>127</v>
      </c>
      <c r="J82" s="5" t="s">
        <v>128</v>
      </c>
      <c r="K82" s="5"/>
      <c r="L82" s="5"/>
      <c r="M82" s="9" t="s">
        <v>171</v>
      </c>
      <c r="N82" s="5" t="s">
        <v>141</v>
      </c>
      <c r="O82" s="5" t="s">
        <v>14</v>
      </c>
      <c r="P82" s="5">
        <v>8899</v>
      </c>
      <c r="Q82" s="7">
        <v>8988</v>
      </c>
      <c r="R82" s="8">
        <v>45568</v>
      </c>
      <c r="S82" s="8">
        <v>45613</v>
      </c>
      <c r="T82" s="5"/>
      <c r="U82" s="5"/>
      <c r="V82" s="5"/>
      <c r="W82" s="7"/>
      <c r="X82" s="5" t="s">
        <v>268</v>
      </c>
      <c r="Y82" s="6" t="s">
        <v>266</v>
      </c>
    </row>
    <row r="83" spans="1:25" ht="20.100000000000001" customHeight="1" x14ac:dyDescent="0.3">
      <c r="A83" s="9">
        <v>83</v>
      </c>
      <c r="B83" s="54">
        <v>240079328</v>
      </c>
      <c r="C83" s="16"/>
      <c r="D83" s="9" t="s">
        <v>22</v>
      </c>
      <c r="E83" s="9" t="s">
        <v>331</v>
      </c>
      <c r="F83" s="9" t="s">
        <v>184</v>
      </c>
      <c r="G83" s="9" t="s">
        <v>184</v>
      </c>
      <c r="H83" s="9" t="s">
        <v>22</v>
      </c>
      <c r="I83" s="9" t="s">
        <v>170</v>
      </c>
      <c r="J83" s="9" t="s">
        <v>138</v>
      </c>
      <c r="K83" s="9"/>
      <c r="L83" s="9"/>
      <c r="M83" s="9" t="s">
        <v>171</v>
      </c>
      <c r="N83" s="9" t="s">
        <v>185</v>
      </c>
      <c r="O83" s="37" t="s">
        <v>301</v>
      </c>
      <c r="P83" s="9">
        <v>14550</v>
      </c>
      <c r="Q83" s="10" t="s">
        <v>12</v>
      </c>
      <c r="R83" s="11">
        <v>45573</v>
      </c>
      <c r="S83" s="11">
        <v>45594</v>
      </c>
      <c r="T83" s="18">
        <v>45595</v>
      </c>
      <c r="U83" s="69">
        <f t="shared" ref="U83:U93" si="18">IF(S83&lt;=T83,1,0)</f>
        <v>1</v>
      </c>
      <c r="V83" s="69" t="str">
        <f t="shared" ref="V83:V93" si="19">IF(U83=0,"متاخر","في الموعد")</f>
        <v>في الموعد</v>
      </c>
      <c r="W83" s="57">
        <f t="shared" ref="W83:W93" si="20">T83-R83</f>
        <v>22</v>
      </c>
      <c r="X83" s="9" t="s">
        <v>267</v>
      </c>
      <c r="Y83" s="40" t="s">
        <v>165</v>
      </c>
    </row>
    <row r="84" spans="1:25" ht="20.100000000000001" customHeight="1" x14ac:dyDescent="0.3">
      <c r="A84" s="9">
        <v>84</v>
      </c>
      <c r="B84" s="54">
        <v>240078933</v>
      </c>
      <c r="C84" s="16"/>
      <c r="D84" s="9" t="s">
        <v>22</v>
      </c>
      <c r="E84" s="9" t="s">
        <v>331</v>
      </c>
      <c r="F84" s="9" t="s">
        <v>28</v>
      </c>
      <c r="G84" s="9" t="s">
        <v>361</v>
      </c>
      <c r="H84" s="9" t="s">
        <v>22</v>
      </c>
      <c r="I84" s="9" t="s">
        <v>170</v>
      </c>
      <c r="J84" s="9" t="s">
        <v>138</v>
      </c>
      <c r="K84" s="9"/>
      <c r="L84" s="9"/>
      <c r="M84" s="9" t="s">
        <v>171</v>
      </c>
      <c r="N84" s="9" t="s">
        <v>185</v>
      </c>
      <c r="O84" s="37" t="s">
        <v>301</v>
      </c>
      <c r="P84" s="9">
        <v>14550</v>
      </c>
      <c r="Q84" s="10" t="s">
        <v>12</v>
      </c>
      <c r="R84" s="11">
        <v>45572</v>
      </c>
      <c r="S84" s="11">
        <v>45594</v>
      </c>
      <c r="T84" s="11">
        <v>45580</v>
      </c>
      <c r="U84" s="69">
        <f t="shared" si="18"/>
        <v>0</v>
      </c>
      <c r="V84" s="69" t="str">
        <f t="shared" si="19"/>
        <v>متاخر</v>
      </c>
      <c r="W84" s="57">
        <f t="shared" si="20"/>
        <v>8</v>
      </c>
      <c r="X84" s="9" t="s">
        <v>267</v>
      </c>
      <c r="Y84" s="40" t="s">
        <v>165</v>
      </c>
    </row>
    <row r="85" spans="1:25" ht="20.100000000000001" customHeight="1" x14ac:dyDescent="0.3">
      <c r="A85" s="9">
        <v>85</v>
      </c>
      <c r="B85" s="16">
        <v>240079517</v>
      </c>
      <c r="C85" s="16"/>
      <c r="D85" s="9" t="s">
        <v>22</v>
      </c>
      <c r="E85" s="9" t="s">
        <v>331</v>
      </c>
      <c r="F85" s="9"/>
      <c r="G85" s="9" t="s">
        <v>361</v>
      </c>
      <c r="H85" s="9" t="s">
        <v>22</v>
      </c>
      <c r="I85" s="9" t="s">
        <v>170</v>
      </c>
      <c r="J85" s="9" t="s">
        <v>138</v>
      </c>
      <c r="K85" s="9"/>
      <c r="L85" s="9"/>
      <c r="M85" s="9" t="s">
        <v>171</v>
      </c>
      <c r="N85" s="9" t="s">
        <v>181</v>
      </c>
      <c r="O85" s="37" t="s">
        <v>300</v>
      </c>
      <c r="P85" s="9">
        <v>14550</v>
      </c>
      <c r="Q85" s="10">
        <v>11495</v>
      </c>
      <c r="R85" s="11">
        <v>45575</v>
      </c>
      <c r="S85" s="11">
        <v>45596</v>
      </c>
      <c r="T85" s="11">
        <v>45598</v>
      </c>
      <c r="U85" s="69">
        <f t="shared" si="18"/>
        <v>1</v>
      </c>
      <c r="V85" s="69" t="str">
        <f t="shared" si="19"/>
        <v>في الموعد</v>
      </c>
      <c r="W85" s="57">
        <f t="shared" si="20"/>
        <v>23</v>
      </c>
      <c r="X85" s="9" t="s">
        <v>267</v>
      </c>
      <c r="Y85" s="40" t="s">
        <v>165</v>
      </c>
    </row>
    <row r="86" spans="1:25" ht="20.100000000000001" customHeight="1" x14ac:dyDescent="0.3">
      <c r="A86" s="9">
        <v>86</v>
      </c>
      <c r="B86" s="16">
        <v>1714623</v>
      </c>
      <c r="C86" s="16">
        <v>1284697</v>
      </c>
      <c r="D86" s="9" t="s">
        <v>188</v>
      </c>
      <c r="E86" s="9" t="s">
        <v>330</v>
      </c>
      <c r="F86" s="9" t="s">
        <v>85</v>
      </c>
      <c r="G86" s="40" t="s">
        <v>52</v>
      </c>
      <c r="H86" s="40" t="s">
        <v>342</v>
      </c>
      <c r="I86" s="9" t="s">
        <v>127</v>
      </c>
      <c r="J86" s="9" t="s">
        <v>139</v>
      </c>
      <c r="K86" s="9" t="s">
        <v>189</v>
      </c>
      <c r="L86" s="9" t="s">
        <v>190</v>
      </c>
      <c r="M86" s="9" t="s">
        <v>191</v>
      </c>
      <c r="N86" s="9"/>
      <c r="O86" s="9" t="s">
        <v>288</v>
      </c>
      <c r="P86" s="9">
        <v>12899</v>
      </c>
      <c r="Q86" s="10">
        <v>13028</v>
      </c>
      <c r="R86" s="11">
        <v>45578</v>
      </c>
      <c r="S86" s="11">
        <v>45643</v>
      </c>
      <c r="T86" s="11">
        <v>45598</v>
      </c>
      <c r="U86" s="69">
        <f t="shared" si="18"/>
        <v>0</v>
      </c>
      <c r="V86" s="69" t="str">
        <f t="shared" si="19"/>
        <v>متاخر</v>
      </c>
      <c r="W86" s="57">
        <f t="shared" si="20"/>
        <v>20</v>
      </c>
      <c r="X86" s="9" t="s">
        <v>267</v>
      </c>
      <c r="Y86" s="40" t="s">
        <v>165</v>
      </c>
    </row>
    <row r="87" spans="1:25" ht="20.100000000000001" customHeight="1" x14ac:dyDescent="0.3">
      <c r="A87" s="9">
        <v>87</v>
      </c>
      <c r="B87" s="54">
        <v>1715473</v>
      </c>
      <c r="C87" s="54">
        <v>1285152</v>
      </c>
      <c r="D87" s="9" t="s">
        <v>192</v>
      </c>
      <c r="E87" s="9" t="s">
        <v>330</v>
      </c>
      <c r="F87" s="9" t="s">
        <v>37</v>
      </c>
      <c r="G87" s="40" t="s">
        <v>37</v>
      </c>
      <c r="H87" s="40" t="s">
        <v>342</v>
      </c>
      <c r="I87" s="9" t="s">
        <v>127</v>
      </c>
      <c r="J87" s="9" t="s">
        <v>139</v>
      </c>
      <c r="K87" s="9" t="s">
        <v>132</v>
      </c>
      <c r="L87" s="9">
        <v>80</v>
      </c>
      <c r="M87" s="9" t="s">
        <v>140</v>
      </c>
      <c r="N87" s="9" t="s">
        <v>140</v>
      </c>
      <c r="O87" s="38" t="s">
        <v>73</v>
      </c>
      <c r="P87" s="9">
        <v>10499</v>
      </c>
      <c r="Q87" s="10" t="s">
        <v>12</v>
      </c>
      <c r="R87" s="11">
        <v>45581</v>
      </c>
      <c r="S87" s="11">
        <v>45645</v>
      </c>
      <c r="T87" s="11">
        <v>45586</v>
      </c>
      <c r="U87" s="69">
        <f t="shared" si="18"/>
        <v>0</v>
      </c>
      <c r="V87" s="69" t="str">
        <f t="shared" si="19"/>
        <v>متاخر</v>
      </c>
      <c r="W87" s="57">
        <f t="shared" si="20"/>
        <v>5</v>
      </c>
      <c r="X87" s="9" t="s">
        <v>267</v>
      </c>
      <c r="Y87" s="40" t="s">
        <v>165</v>
      </c>
    </row>
    <row r="88" spans="1:25" ht="20.100000000000001" customHeight="1" x14ac:dyDescent="0.3">
      <c r="A88" s="9">
        <v>89</v>
      </c>
      <c r="B88" s="16">
        <v>1715992</v>
      </c>
      <c r="C88" s="16">
        <v>1285423</v>
      </c>
      <c r="D88" s="9" t="s">
        <v>193</v>
      </c>
      <c r="E88" s="9" t="s">
        <v>330</v>
      </c>
      <c r="F88" s="9" t="s">
        <v>194</v>
      </c>
      <c r="G88" s="40" t="s">
        <v>324</v>
      </c>
      <c r="H88" s="40" t="s">
        <v>342</v>
      </c>
      <c r="I88" s="9" t="s">
        <v>127</v>
      </c>
      <c r="J88" s="9" t="s">
        <v>139</v>
      </c>
      <c r="K88" s="9" t="s">
        <v>129</v>
      </c>
      <c r="L88" s="9" t="s">
        <v>195</v>
      </c>
      <c r="M88" s="9" t="s">
        <v>191</v>
      </c>
      <c r="N88" s="9"/>
      <c r="O88" s="9" t="s">
        <v>289</v>
      </c>
      <c r="P88" s="9">
        <v>12899</v>
      </c>
      <c r="Q88" s="10" t="s">
        <v>12</v>
      </c>
      <c r="R88" s="11">
        <v>45582</v>
      </c>
      <c r="S88" s="11">
        <v>45648</v>
      </c>
      <c r="T88" s="11">
        <v>45629</v>
      </c>
      <c r="U88" s="69">
        <f t="shared" si="18"/>
        <v>0</v>
      </c>
      <c r="V88" s="69" t="str">
        <f t="shared" si="19"/>
        <v>متاخر</v>
      </c>
      <c r="W88" s="57">
        <f t="shared" si="20"/>
        <v>47</v>
      </c>
      <c r="X88" s="40" t="s">
        <v>20</v>
      </c>
      <c r="Y88" s="40" t="s">
        <v>165</v>
      </c>
    </row>
    <row r="89" spans="1:25" ht="20.100000000000001" customHeight="1" x14ac:dyDescent="0.3">
      <c r="A89" s="9">
        <v>90</v>
      </c>
      <c r="B89" s="16" t="s">
        <v>197</v>
      </c>
      <c r="C89" s="16"/>
      <c r="D89" s="9" t="s">
        <v>196</v>
      </c>
      <c r="E89" s="9" t="s">
        <v>330</v>
      </c>
      <c r="F89" s="9" t="s">
        <v>198</v>
      </c>
      <c r="G89" s="9" t="s">
        <v>310</v>
      </c>
      <c r="H89" s="9" t="s">
        <v>345</v>
      </c>
      <c r="I89" s="9" t="s">
        <v>127</v>
      </c>
      <c r="J89" s="9" t="s">
        <v>130</v>
      </c>
      <c r="K89" s="9" t="s">
        <v>199</v>
      </c>
      <c r="L89" s="9">
        <v>140</v>
      </c>
      <c r="M89" s="9" t="s">
        <v>181</v>
      </c>
      <c r="N89" s="9" t="s">
        <v>200</v>
      </c>
      <c r="O89" s="38" t="s">
        <v>292</v>
      </c>
      <c r="P89" s="9">
        <v>5135</v>
      </c>
      <c r="Q89" s="10" t="s">
        <v>12</v>
      </c>
      <c r="R89" s="11">
        <v>45585</v>
      </c>
      <c r="S89" s="11">
        <v>45613</v>
      </c>
      <c r="T89" s="11">
        <v>45610</v>
      </c>
      <c r="U89" s="69">
        <f t="shared" si="18"/>
        <v>0</v>
      </c>
      <c r="V89" s="69" t="str">
        <f t="shared" si="19"/>
        <v>متاخر</v>
      </c>
      <c r="W89" s="57">
        <f t="shared" si="20"/>
        <v>25</v>
      </c>
      <c r="X89" s="9" t="s">
        <v>267</v>
      </c>
      <c r="Y89" s="40" t="s">
        <v>165</v>
      </c>
    </row>
    <row r="90" spans="1:25" ht="20.100000000000001" customHeight="1" x14ac:dyDescent="0.3">
      <c r="A90" s="9">
        <v>91</v>
      </c>
      <c r="B90" s="16">
        <v>240080607</v>
      </c>
      <c r="C90" s="16"/>
      <c r="D90" s="9" t="s">
        <v>22</v>
      </c>
      <c r="E90" s="9" t="s">
        <v>331</v>
      </c>
      <c r="F90" s="9" t="s">
        <v>28</v>
      </c>
      <c r="G90" s="9" t="s">
        <v>361</v>
      </c>
      <c r="H90" s="9" t="s">
        <v>22</v>
      </c>
      <c r="I90" s="9" t="s">
        <v>127</v>
      </c>
      <c r="J90" s="9" t="s">
        <v>139</v>
      </c>
      <c r="K90" s="9" t="s">
        <v>175</v>
      </c>
      <c r="L90" s="9">
        <v>100</v>
      </c>
      <c r="M90" s="9" t="s">
        <v>201</v>
      </c>
      <c r="N90" s="9"/>
      <c r="O90" s="9" t="s">
        <v>275</v>
      </c>
      <c r="P90" s="42">
        <v>12777.5</v>
      </c>
      <c r="Q90" s="10">
        <v>11277.5</v>
      </c>
      <c r="R90" s="11">
        <v>45587</v>
      </c>
      <c r="S90" s="11">
        <v>45608</v>
      </c>
      <c r="T90" s="11">
        <v>45614</v>
      </c>
      <c r="U90" s="69">
        <f t="shared" si="18"/>
        <v>1</v>
      </c>
      <c r="V90" s="69" t="str">
        <f t="shared" si="19"/>
        <v>في الموعد</v>
      </c>
      <c r="W90" s="57">
        <f t="shared" si="20"/>
        <v>27</v>
      </c>
      <c r="X90" s="9" t="s">
        <v>267</v>
      </c>
      <c r="Y90" s="40" t="s">
        <v>165</v>
      </c>
    </row>
    <row r="91" spans="1:25" ht="20.100000000000001" customHeight="1" x14ac:dyDescent="0.3">
      <c r="A91" s="9">
        <v>92</v>
      </c>
      <c r="B91" s="16">
        <v>240080607</v>
      </c>
      <c r="C91" s="16"/>
      <c r="D91" s="9" t="s">
        <v>22</v>
      </c>
      <c r="E91" s="9" t="s">
        <v>331</v>
      </c>
      <c r="F91" s="9" t="s">
        <v>28</v>
      </c>
      <c r="G91" s="9" t="s">
        <v>361</v>
      </c>
      <c r="H91" s="9" t="s">
        <v>22</v>
      </c>
      <c r="I91" s="9" t="s">
        <v>127</v>
      </c>
      <c r="J91" s="9" t="s">
        <v>139</v>
      </c>
      <c r="K91" s="9" t="s">
        <v>175</v>
      </c>
      <c r="L91" s="9">
        <v>100</v>
      </c>
      <c r="M91" s="9" t="s">
        <v>201</v>
      </c>
      <c r="N91" s="9"/>
      <c r="O91" s="9" t="s">
        <v>275</v>
      </c>
      <c r="P91" s="42">
        <v>12777.5</v>
      </c>
      <c r="Q91" s="10">
        <v>11277.5</v>
      </c>
      <c r="R91" s="11">
        <v>45587</v>
      </c>
      <c r="S91" s="11">
        <v>45608</v>
      </c>
      <c r="T91" s="11">
        <v>45614</v>
      </c>
      <c r="U91" s="69">
        <f t="shared" si="18"/>
        <v>1</v>
      </c>
      <c r="V91" s="69" t="str">
        <f t="shared" si="19"/>
        <v>في الموعد</v>
      </c>
      <c r="W91" s="57">
        <f t="shared" si="20"/>
        <v>27</v>
      </c>
      <c r="X91" s="9" t="s">
        <v>267</v>
      </c>
      <c r="Y91" s="40" t="s">
        <v>165</v>
      </c>
    </row>
    <row r="92" spans="1:25" ht="20.100000000000001" customHeight="1" x14ac:dyDescent="0.3">
      <c r="A92" s="9">
        <v>94</v>
      </c>
      <c r="B92" s="16">
        <v>1717458</v>
      </c>
      <c r="C92" s="16">
        <v>1286189</v>
      </c>
      <c r="D92" s="9" t="s">
        <v>202</v>
      </c>
      <c r="E92" s="9" t="s">
        <v>330</v>
      </c>
      <c r="F92" s="9" t="s">
        <v>28</v>
      </c>
      <c r="G92" s="9" t="s">
        <v>361</v>
      </c>
      <c r="H92" s="40" t="s">
        <v>342</v>
      </c>
      <c r="I92" s="9" t="s">
        <v>127</v>
      </c>
      <c r="J92" s="9" t="s">
        <v>130</v>
      </c>
      <c r="K92" s="9" t="s">
        <v>150</v>
      </c>
      <c r="L92" s="9">
        <v>120</v>
      </c>
      <c r="M92" s="9" t="s">
        <v>140</v>
      </c>
      <c r="N92" s="9"/>
      <c r="O92" s="9" t="s">
        <v>291</v>
      </c>
      <c r="P92" s="9">
        <v>8943</v>
      </c>
      <c r="Q92" s="10">
        <v>9007.01</v>
      </c>
      <c r="R92" s="11">
        <v>45586</v>
      </c>
      <c r="S92" s="11">
        <v>45610</v>
      </c>
      <c r="T92" s="11">
        <v>45614</v>
      </c>
      <c r="U92" s="69">
        <f t="shared" si="18"/>
        <v>1</v>
      </c>
      <c r="V92" s="69" t="str">
        <f t="shared" si="19"/>
        <v>في الموعد</v>
      </c>
      <c r="W92" s="57">
        <f t="shared" si="20"/>
        <v>28</v>
      </c>
      <c r="X92" s="9" t="s">
        <v>267</v>
      </c>
      <c r="Y92" s="40" t="s">
        <v>165</v>
      </c>
    </row>
    <row r="93" spans="1:25" ht="20.100000000000001" customHeight="1" x14ac:dyDescent="0.3">
      <c r="A93" s="9">
        <v>95</v>
      </c>
      <c r="B93" s="54">
        <v>240080858</v>
      </c>
      <c r="C93" s="16"/>
      <c r="D93" s="9" t="s">
        <v>22</v>
      </c>
      <c r="E93" s="9" t="s">
        <v>331</v>
      </c>
      <c r="F93" s="9"/>
      <c r="G93" s="9" t="s">
        <v>361</v>
      </c>
      <c r="H93" s="9" t="s">
        <v>22</v>
      </c>
      <c r="I93" s="9" t="s">
        <v>170</v>
      </c>
      <c r="J93" s="9" t="s">
        <v>138</v>
      </c>
      <c r="K93" s="9"/>
      <c r="L93" s="9"/>
      <c r="M93" s="9" t="s">
        <v>171</v>
      </c>
      <c r="N93" s="9" t="s">
        <v>141</v>
      </c>
      <c r="O93" s="37" t="s">
        <v>303</v>
      </c>
      <c r="P93" s="9">
        <v>15516</v>
      </c>
      <c r="Q93" s="10" t="s">
        <v>12</v>
      </c>
      <c r="R93" s="11">
        <v>45589</v>
      </c>
      <c r="S93" s="11">
        <v>45610</v>
      </c>
      <c r="T93" s="18">
        <v>45595</v>
      </c>
      <c r="U93" s="69">
        <f t="shared" si="18"/>
        <v>0</v>
      </c>
      <c r="V93" s="69" t="str">
        <f t="shared" si="19"/>
        <v>متاخر</v>
      </c>
      <c r="W93" s="57">
        <f t="shared" si="20"/>
        <v>6</v>
      </c>
      <c r="X93" s="9" t="s">
        <v>267</v>
      </c>
      <c r="Y93" s="40" t="s">
        <v>165</v>
      </c>
    </row>
    <row r="94" spans="1:25" ht="20.100000000000001" customHeight="1" x14ac:dyDescent="0.3">
      <c r="A94" s="5">
        <v>96</v>
      </c>
      <c r="B94" s="55">
        <v>240081061</v>
      </c>
      <c r="C94" s="12"/>
      <c r="D94" s="5" t="s">
        <v>22</v>
      </c>
      <c r="E94" s="5" t="s">
        <v>331</v>
      </c>
      <c r="F94" s="5"/>
      <c r="G94" s="5" t="s">
        <v>361</v>
      </c>
      <c r="H94" s="5" t="s">
        <v>22</v>
      </c>
      <c r="I94" s="5" t="s">
        <v>127</v>
      </c>
      <c r="J94" s="5" t="s">
        <v>139</v>
      </c>
      <c r="K94" s="5" t="s">
        <v>131</v>
      </c>
      <c r="L94" s="5">
        <v>100</v>
      </c>
      <c r="M94" s="9" t="s">
        <v>171</v>
      </c>
      <c r="N94" s="5"/>
      <c r="O94" s="8" t="s">
        <v>278</v>
      </c>
      <c r="P94" s="5">
        <v>10045</v>
      </c>
      <c r="Q94" s="7">
        <v>8879</v>
      </c>
      <c r="R94" s="8">
        <v>45591</v>
      </c>
      <c r="S94" s="8">
        <v>45612</v>
      </c>
      <c r="T94" s="8"/>
      <c r="U94" s="8"/>
      <c r="V94" s="8"/>
      <c r="W94" s="7"/>
      <c r="X94" s="5" t="s">
        <v>268</v>
      </c>
      <c r="Y94" s="6" t="s">
        <v>266</v>
      </c>
    </row>
    <row r="95" spans="1:25" ht="20.100000000000001" customHeight="1" x14ac:dyDescent="0.3">
      <c r="A95" s="9">
        <v>97</v>
      </c>
      <c r="B95" s="54">
        <v>1718948</v>
      </c>
      <c r="C95" s="54">
        <v>1286883</v>
      </c>
      <c r="D95" s="9" t="s">
        <v>111</v>
      </c>
      <c r="E95" s="9" t="s">
        <v>330</v>
      </c>
      <c r="F95" s="9" t="s">
        <v>103</v>
      </c>
      <c r="G95" s="40" t="s">
        <v>327</v>
      </c>
      <c r="H95" s="40" t="s">
        <v>342</v>
      </c>
      <c r="I95" s="9" t="s">
        <v>127</v>
      </c>
      <c r="J95" s="9" t="s">
        <v>139</v>
      </c>
      <c r="K95" s="9" t="s">
        <v>131</v>
      </c>
      <c r="L95" s="9">
        <v>90</v>
      </c>
      <c r="M95" s="9" t="s">
        <v>171</v>
      </c>
      <c r="N95" s="9"/>
      <c r="O95" s="37" t="s">
        <v>279</v>
      </c>
      <c r="P95" s="9">
        <v>11649</v>
      </c>
      <c r="Q95" s="10">
        <v>11749</v>
      </c>
      <c r="R95" s="11">
        <v>45591</v>
      </c>
      <c r="S95" s="11">
        <v>45606</v>
      </c>
      <c r="T95" s="11">
        <v>45614</v>
      </c>
      <c r="U95" s="69">
        <f t="shared" ref="U95:U113" si="21">IF(S95&lt;=T95,1,0)</f>
        <v>1</v>
      </c>
      <c r="V95" s="69" t="str">
        <f t="shared" ref="V95:V113" si="22">IF(U95=0,"متاخر","في الموعد")</f>
        <v>في الموعد</v>
      </c>
      <c r="W95" s="57">
        <f t="shared" ref="W95:W113" si="23">T95-R95</f>
        <v>23</v>
      </c>
      <c r="X95" s="9" t="s">
        <v>267</v>
      </c>
      <c r="Y95" s="40" t="s">
        <v>165</v>
      </c>
    </row>
    <row r="96" spans="1:25" ht="20.100000000000001" customHeight="1" x14ac:dyDescent="0.3">
      <c r="A96" s="9">
        <v>98</v>
      </c>
      <c r="B96" s="54">
        <v>1718949</v>
      </c>
      <c r="C96" s="54">
        <v>1286883</v>
      </c>
      <c r="D96" s="9" t="s">
        <v>111</v>
      </c>
      <c r="E96" s="9" t="s">
        <v>330</v>
      </c>
      <c r="F96" s="9" t="s">
        <v>103</v>
      </c>
      <c r="G96" s="40" t="s">
        <v>327</v>
      </c>
      <c r="H96" s="40" t="s">
        <v>342</v>
      </c>
      <c r="I96" s="9" t="s">
        <v>127</v>
      </c>
      <c r="J96" s="9" t="s">
        <v>139</v>
      </c>
      <c r="K96" s="9" t="s">
        <v>131</v>
      </c>
      <c r="L96" s="9">
        <v>90</v>
      </c>
      <c r="M96" s="9" t="s">
        <v>171</v>
      </c>
      <c r="N96" s="9"/>
      <c r="O96" s="37" t="s">
        <v>279</v>
      </c>
      <c r="P96" s="9">
        <v>11649</v>
      </c>
      <c r="Q96" s="10">
        <v>11749</v>
      </c>
      <c r="R96" s="11">
        <v>45591</v>
      </c>
      <c r="S96" s="11">
        <v>45606</v>
      </c>
      <c r="T96" s="11">
        <v>45614</v>
      </c>
      <c r="U96" s="69">
        <f t="shared" si="21"/>
        <v>1</v>
      </c>
      <c r="V96" s="69" t="str">
        <f t="shared" si="22"/>
        <v>في الموعد</v>
      </c>
      <c r="W96" s="57">
        <f t="shared" si="23"/>
        <v>23</v>
      </c>
      <c r="X96" s="9" t="s">
        <v>267</v>
      </c>
      <c r="Y96" s="40" t="s">
        <v>165</v>
      </c>
    </row>
    <row r="97" spans="1:25" ht="20.100000000000001" customHeight="1" x14ac:dyDescent="0.3">
      <c r="A97" s="9">
        <v>99</v>
      </c>
      <c r="B97" s="16"/>
      <c r="C97" s="16"/>
      <c r="D97" s="9" t="s">
        <v>203</v>
      </c>
      <c r="E97" s="9" t="s">
        <v>331</v>
      </c>
      <c r="F97" s="9" t="s">
        <v>89</v>
      </c>
      <c r="G97" s="40" t="s">
        <v>326</v>
      </c>
      <c r="H97" s="40" t="s">
        <v>342</v>
      </c>
      <c r="I97" s="9" t="s">
        <v>127</v>
      </c>
      <c r="J97" s="9" t="s">
        <v>130</v>
      </c>
      <c r="K97" s="9" t="s">
        <v>133</v>
      </c>
      <c r="L97" s="9">
        <v>100</v>
      </c>
      <c r="M97" s="9" t="s">
        <v>140</v>
      </c>
      <c r="N97" s="9"/>
      <c r="O97" s="9"/>
      <c r="P97" s="9">
        <v>5100</v>
      </c>
      <c r="Q97" s="10">
        <v>4800</v>
      </c>
      <c r="R97" s="11">
        <v>45593</v>
      </c>
      <c r="S97" s="11">
        <v>45607</v>
      </c>
      <c r="T97" s="11">
        <v>45617</v>
      </c>
      <c r="U97" s="69">
        <f t="shared" si="21"/>
        <v>1</v>
      </c>
      <c r="V97" s="69" t="str">
        <f t="shared" si="22"/>
        <v>في الموعد</v>
      </c>
      <c r="W97" s="57">
        <f t="shared" si="23"/>
        <v>24</v>
      </c>
      <c r="X97" s="9" t="s">
        <v>267</v>
      </c>
      <c r="Y97" s="40" t="s">
        <v>165</v>
      </c>
    </row>
    <row r="98" spans="1:25" ht="20.100000000000001" customHeight="1" x14ac:dyDescent="0.3">
      <c r="A98" s="9">
        <v>100</v>
      </c>
      <c r="B98" s="16"/>
      <c r="C98" s="16"/>
      <c r="D98" s="9" t="s">
        <v>203</v>
      </c>
      <c r="E98" s="9" t="s">
        <v>331</v>
      </c>
      <c r="F98" s="9" t="s">
        <v>89</v>
      </c>
      <c r="G98" s="40" t="s">
        <v>326</v>
      </c>
      <c r="H98" s="40" t="s">
        <v>342</v>
      </c>
      <c r="I98" s="9" t="s">
        <v>127</v>
      </c>
      <c r="J98" s="9" t="s">
        <v>130</v>
      </c>
      <c r="K98" s="9" t="s">
        <v>133</v>
      </c>
      <c r="L98" s="9">
        <v>120</v>
      </c>
      <c r="M98" s="9" t="s">
        <v>140</v>
      </c>
      <c r="N98" s="9"/>
      <c r="O98" s="9" t="s">
        <v>55</v>
      </c>
      <c r="P98" s="9">
        <v>5300</v>
      </c>
      <c r="Q98" s="10">
        <v>4800</v>
      </c>
      <c r="R98" s="11">
        <v>45593</v>
      </c>
      <c r="S98" s="11">
        <v>45607</v>
      </c>
      <c r="T98" s="11">
        <v>45617</v>
      </c>
      <c r="U98" s="69">
        <f t="shared" si="21"/>
        <v>1</v>
      </c>
      <c r="V98" s="69" t="str">
        <f t="shared" si="22"/>
        <v>في الموعد</v>
      </c>
      <c r="W98" s="57">
        <f t="shared" si="23"/>
        <v>24</v>
      </c>
      <c r="X98" s="9" t="s">
        <v>267</v>
      </c>
      <c r="Y98" s="40" t="s">
        <v>165</v>
      </c>
    </row>
    <row r="99" spans="1:25" ht="20.100000000000001" customHeight="1" x14ac:dyDescent="0.3">
      <c r="A99" s="9">
        <v>101</v>
      </c>
      <c r="B99" s="54">
        <v>1744766</v>
      </c>
      <c r="C99" s="54">
        <v>1298738</v>
      </c>
      <c r="D99" s="9" t="s">
        <v>204</v>
      </c>
      <c r="E99" s="9" t="s">
        <v>330</v>
      </c>
      <c r="F99" s="9" t="s">
        <v>210</v>
      </c>
      <c r="G99" s="40" t="s">
        <v>328</v>
      </c>
      <c r="H99" s="40" t="s">
        <v>342</v>
      </c>
      <c r="I99" s="9" t="s">
        <v>127</v>
      </c>
      <c r="J99" s="9" t="s">
        <v>139</v>
      </c>
      <c r="K99" s="9" t="s">
        <v>132</v>
      </c>
      <c r="L99" s="9">
        <v>80</v>
      </c>
      <c r="M99" s="9" t="s">
        <v>140</v>
      </c>
      <c r="N99" s="9" t="s">
        <v>140</v>
      </c>
      <c r="O99" s="38" t="s">
        <v>73</v>
      </c>
      <c r="P99" s="9">
        <v>12099</v>
      </c>
      <c r="Q99" s="10" t="s">
        <v>12</v>
      </c>
      <c r="R99" s="11">
        <v>45607</v>
      </c>
      <c r="S99" s="11">
        <v>45622</v>
      </c>
      <c r="T99" s="11">
        <v>45623</v>
      </c>
      <c r="U99" s="69">
        <f t="shared" si="21"/>
        <v>1</v>
      </c>
      <c r="V99" s="69" t="str">
        <f t="shared" si="22"/>
        <v>في الموعد</v>
      </c>
      <c r="W99" s="57">
        <f t="shared" si="23"/>
        <v>16</v>
      </c>
      <c r="X99" s="9" t="s">
        <v>267</v>
      </c>
      <c r="Y99" s="40" t="s">
        <v>165</v>
      </c>
    </row>
    <row r="100" spans="1:25" ht="20.100000000000001" customHeight="1" x14ac:dyDescent="0.3">
      <c r="A100" s="9">
        <v>102</v>
      </c>
      <c r="B100" s="54">
        <v>240082226</v>
      </c>
      <c r="C100" s="16"/>
      <c r="D100" s="9" t="s">
        <v>39</v>
      </c>
      <c r="E100" s="9" t="s">
        <v>331</v>
      </c>
      <c r="F100" s="9" t="s">
        <v>184</v>
      </c>
      <c r="G100" s="9" t="s">
        <v>184</v>
      </c>
      <c r="H100" s="9" t="s">
        <v>22</v>
      </c>
      <c r="I100" s="9" t="s">
        <v>170</v>
      </c>
      <c r="J100" s="9" t="s">
        <v>138</v>
      </c>
      <c r="K100" s="9" t="s">
        <v>205</v>
      </c>
      <c r="L100" s="9"/>
      <c r="M100" s="9" t="s">
        <v>171</v>
      </c>
      <c r="N100" s="9" t="s">
        <v>206</v>
      </c>
      <c r="O100" s="37" t="s">
        <v>301</v>
      </c>
      <c r="P100" s="9">
        <v>15872</v>
      </c>
      <c r="Q100" s="10" t="s">
        <v>207</v>
      </c>
      <c r="R100" s="11">
        <v>45604</v>
      </c>
      <c r="S100" s="11">
        <v>45363</v>
      </c>
      <c r="T100" s="11">
        <v>45610</v>
      </c>
      <c r="U100" s="69">
        <f t="shared" si="21"/>
        <v>1</v>
      </c>
      <c r="V100" s="69" t="str">
        <f t="shared" si="22"/>
        <v>في الموعد</v>
      </c>
      <c r="W100" s="57">
        <f t="shared" si="23"/>
        <v>6</v>
      </c>
      <c r="X100" s="9" t="s">
        <v>267</v>
      </c>
      <c r="Y100" s="40" t="s">
        <v>165</v>
      </c>
    </row>
    <row r="101" spans="1:25" ht="20.100000000000001" customHeight="1" x14ac:dyDescent="0.3">
      <c r="A101" s="9">
        <v>103</v>
      </c>
      <c r="B101" s="16" t="s">
        <v>208</v>
      </c>
      <c r="C101" s="16"/>
      <c r="D101" s="9" t="s">
        <v>209</v>
      </c>
      <c r="E101" s="9" t="s">
        <v>330</v>
      </c>
      <c r="F101" s="9" t="s">
        <v>25</v>
      </c>
      <c r="G101" s="9" t="s">
        <v>25</v>
      </c>
      <c r="H101" s="9" t="s">
        <v>345</v>
      </c>
      <c r="I101" s="9" t="s">
        <v>127</v>
      </c>
      <c r="J101" s="9" t="s">
        <v>130</v>
      </c>
      <c r="K101" s="9" t="s">
        <v>150</v>
      </c>
      <c r="L101" s="9">
        <v>120</v>
      </c>
      <c r="M101" s="9" t="s">
        <v>140</v>
      </c>
      <c r="N101" s="9"/>
      <c r="O101" s="9" t="s">
        <v>291</v>
      </c>
      <c r="P101" s="9">
        <v>4520</v>
      </c>
      <c r="Q101" s="10" t="s">
        <v>69</v>
      </c>
      <c r="R101" s="11">
        <v>45606</v>
      </c>
      <c r="S101" s="11">
        <v>45618</v>
      </c>
      <c r="T101" s="11">
        <v>45617</v>
      </c>
      <c r="U101" s="69">
        <f t="shared" si="21"/>
        <v>0</v>
      </c>
      <c r="V101" s="69" t="str">
        <f t="shared" si="22"/>
        <v>متاخر</v>
      </c>
      <c r="W101" s="57">
        <f t="shared" si="23"/>
        <v>11</v>
      </c>
      <c r="X101" s="9" t="s">
        <v>267</v>
      </c>
      <c r="Y101" s="40" t="s">
        <v>165</v>
      </c>
    </row>
    <row r="102" spans="1:25" ht="20.100000000000001" customHeight="1" x14ac:dyDescent="0.3">
      <c r="A102" s="9">
        <v>104</v>
      </c>
      <c r="B102" s="16" t="s">
        <v>211</v>
      </c>
      <c r="C102" s="16"/>
      <c r="D102" s="9" t="s">
        <v>67</v>
      </c>
      <c r="E102" s="9" t="s">
        <v>331</v>
      </c>
      <c r="F102" s="9" t="s">
        <v>166</v>
      </c>
      <c r="G102" s="9" t="s">
        <v>322</v>
      </c>
      <c r="H102" s="9" t="s">
        <v>344</v>
      </c>
      <c r="I102" s="9" t="s">
        <v>127</v>
      </c>
      <c r="J102" s="9" t="s">
        <v>139</v>
      </c>
      <c r="K102" s="9" t="s">
        <v>131</v>
      </c>
      <c r="L102" s="9">
        <v>90</v>
      </c>
      <c r="M102" s="9" t="s">
        <v>171</v>
      </c>
      <c r="N102" s="9"/>
      <c r="O102" s="37" t="s">
        <v>279</v>
      </c>
      <c r="P102" s="9">
        <v>5766</v>
      </c>
      <c r="Q102" s="10" t="s">
        <v>69</v>
      </c>
      <c r="R102" s="11">
        <v>45608</v>
      </c>
      <c r="S102" s="11">
        <v>45622</v>
      </c>
      <c r="T102" s="11">
        <v>45621</v>
      </c>
      <c r="U102" s="69">
        <f t="shared" si="21"/>
        <v>0</v>
      </c>
      <c r="V102" s="69" t="str">
        <f t="shared" si="22"/>
        <v>متاخر</v>
      </c>
      <c r="W102" s="57">
        <f t="shared" si="23"/>
        <v>13</v>
      </c>
      <c r="X102" s="9" t="s">
        <v>267</v>
      </c>
      <c r="Y102" s="40" t="s">
        <v>165</v>
      </c>
    </row>
    <row r="103" spans="1:25" ht="20.100000000000001" customHeight="1" x14ac:dyDescent="0.3">
      <c r="A103" s="9">
        <v>105</v>
      </c>
      <c r="B103" s="54">
        <v>1752544</v>
      </c>
      <c r="C103" s="54">
        <v>1302011</v>
      </c>
      <c r="D103" s="9" t="s">
        <v>212</v>
      </c>
      <c r="E103" s="9" t="s">
        <v>330</v>
      </c>
      <c r="F103" s="9" t="s">
        <v>89</v>
      </c>
      <c r="G103" s="40" t="s">
        <v>326</v>
      </c>
      <c r="H103" s="40" t="s">
        <v>342</v>
      </c>
      <c r="I103" s="9" t="s">
        <v>127</v>
      </c>
      <c r="J103" s="9" t="s">
        <v>130</v>
      </c>
      <c r="K103" s="9" t="s">
        <v>150</v>
      </c>
      <c r="L103" s="9">
        <v>160</v>
      </c>
      <c r="M103" s="9" t="s">
        <v>146</v>
      </c>
      <c r="N103" s="9"/>
      <c r="O103" s="9" t="s">
        <v>293</v>
      </c>
      <c r="P103" s="9">
        <v>11395</v>
      </c>
      <c r="Q103" s="10" t="s">
        <v>12</v>
      </c>
      <c r="R103" s="11">
        <v>45608</v>
      </c>
      <c r="S103" s="11">
        <v>45620</v>
      </c>
      <c r="T103" s="11">
        <v>45623</v>
      </c>
      <c r="U103" s="69">
        <f t="shared" si="21"/>
        <v>1</v>
      </c>
      <c r="V103" s="69" t="str">
        <f t="shared" si="22"/>
        <v>في الموعد</v>
      </c>
      <c r="W103" s="57">
        <f t="shared" si="23"/>
        <v>15</v>
      </c>
      <c r="X103" s="9" t="s">
        <v>267</v>
      </c>
      <c r="Y103" s="40" t="s">
        <v>165</v>
      </c>
    </row>
    <row r="104" spans="1:25" ht="20.100000000000001" customHeight="1" x14ac:dyDescent="0.3">
      <c r="A104" s="9">
        <v>106</v>
      </c>
      <c r="B104" s="54">
        <v>1755075</v>
      </c>
      <c r="C104" s="54">
        <v>1303159</v>
      </c>
      <c r="D104" s="9" t="s">
        <v>213</v>
      </c>
      <c r="E104" s="9" t="s">
        <v>330</v>
      </c>
      <c r="F104" s="9" t="s">
        <v>25</v>
      </c>
      <c r="G104" s="40" t="s">
        <v>25</v>
      </c>
      <c r="H104" s="40" t="s">
        <v>342</v>
      </c>
      <c r="I104" s="9" t="s">
        <v>127</v>
      </c>
      <c r="J104" s="9" t="s">
        <v>139</v>
      </c>
      <c r="K104" s="9" t="s">
        <v>214</v>
      </c>
      <c r="L104" s="9">
        <v>80</v>
      </c>
      <c r="M104" s="9" t="s">
        <v>140</v>
      </c>
      <c r="N104" s="9"/>
      <c r="O104" s="37" t="s">
        <v>282</v>
      </c>
      <c r="P104" s="9">
        <v>12919</v>
      </c>
      <c r="Q104" s="10" t="s">
        <v>12</v>
      </c>
      <c r="R104" s="11">
        <v>45610</v>
      </c>
      <c r="S104" s="11">
        <v>45626</v>
      </c>
      <c r="T104" s="11">
        <v>45623</v>
      </c>
      <c r="U104" s="69">
        <f t="shared" si="21"/>
        <v>0</v>
      </c>
      <c r="V104" s="69" t="str">
        <f t="shared" si="22"/>
        <v>متاخر</v>
      </c>
      <c r="W104" s="57">
        <f t="shared" si="23"/>
        <v>13</v>
      </c>
      <c r="X104" s="9" t="s">
        <v>267</v>
      </c>
      <c r="Y104" s="40" t="s">
        <v>165</v>
      </c>
    </row>
    <row r="105" spans="1:25" ht="20.100000000000001" customHeight="1" x14ac:dyDescent="0.3">
      <c r="A105" s="9">
        <v>107</v>
      </c>
      <c r="B105" s="16" t="s">
        <v>215</v>
      </c>
      <c r="C105" s="16"/>
      <c r="D105" s="9" t="s">
        <v>67</v>
      </c>
      <c r="E105" s="9" t="s">
        <v>331</v>
      </c>
      <c r="F105" s="9" t="s">
        <v>166</v>
      </c>
      <c r="G105" s="9" t="s">
        <v>322</v>
      </c>
      <c r="H105" s="9" t="s">
        <v>344</v>
      </c>
      <c r="I105" s="9" t="s">
        <v>127</v>
      </c>
      <c r="J105" s="9" t="s">
        <v>139</v>
      </c>
      <c r="K105" s="9" t="s">
        <v>129</v>
      </c>
      <c r="L105" s="9">
        <v>120</v>
      </c>
      <c r="M105" s="9" t="s">
        <v>145</v>
      </c>
      <c r="N105" s="9"/>
      <c r="O105" s="9" t="s">
        <v>283</v>
      </c>
      <c r="P105" s="9">
        <v>6376</v>
      </c>
      <c r="Q105" s="10" t="s">
        <v>69</v>
      </c>
      <c r="R105" s="11">
        <v>45610</v>
      </c>
      <c r="S105" s="11">
        <v>45623</v>
      </c>
      <c r="T105" s="11">
        <v>45621</v>
      </c>
      <c r="U105" s="69">
        <f t="shared" si="21"/>
        <v>0</v>
      </c>
      <c r="V105" s="69" t="str">
        <f t="shared" si="22"/>
        <v>متاخر</v>
      </c>
      <c r="W105" s="57">
        <f t="shared" si="23"/>
        <v>11</v>
      </c>
      <c r="X105" s="9" t="s">
        <v>267</v>
      </c>
      <c r="Y105" s="40" t="s">
        <v>165</v>
      </c>
    </row>
    <row r="106" spans="1:25" ht="20.100000000000001" customHeight="1" x14ac:dyDescent="0.3">
      <c r="A106" s="9">
        <v>108</v>
      </c>
      <c r="B106" s="16" t="s">
        <v>216</v>
      </c>
      <c r="C106" s="16"/>
      <c r="D106" s="9" t="s">
        <v>67</v>
      </c>
      <c r="E106" s="9" t="s">
        <v>331</v>
      </c>
      <c r="F106" s="9" t="s">
        <v>166</v>
      </c>
      <c r="G106" s="9" t="s">
        <v>322</v>
      </c>
      <c r="H106" s="9" t="s">
        <v>344</v>
      </c>
      <c r="I106" s="9" t="s">
        <v>127</v>
      </c>
      <c r="J106" s="9" t="s">
        <v>217</v>
      </c>
      <c r="K106" s="9" t="s">
        <v>129</v>
      </c>
      <c r="L106" s="9">
        <v>90</v>
      </c>
      <c r="M106" s="9" t="s">
        <v>171</v>
      </c>
      <c r="N106" s="9"/>
      <c r="O106" s="9" t="s">
        <v>284</v>
      </c>
      <c r="P106" s="9">
        <v>5294</v>
      </c>
      <c r="Q106" s="10" t="s">
        <v>69</v>
      </c>
      <c r="R106" s="11">
        <v>45610</v>
      </c>
      <c r="S106" s="11">
        <v>45623</v>
      </c>
      <c r="T106" s="11">
        <v>45621</v>
      </c>
      <c r="U106" s="69">
        <f t="shared" si="21"/>
        <v>0</v>
      </c>
      <c r="V106" s="69" t="str">
        <f t="shared" si="22"/>
        <v>متاخر</v>
      </c>
      <c r="W106" s="57">
        <f t="shared" si="23"/>
        <v>11</v>
      </c>
      <c r="X106" s="9" t="s">
        <v>267</v>
      </c>
      <c r="Y106" s="40" t="s">
        <v>165</v>
      </c>
    </row>
    <row r="107" spans="1:25" ht="20.100000000000001" customHeight="1" x14ac:dyDescent="0.3">
      <c r="A107" s="9">
        <v>109</v>
      </c>
      <c r="B107" s="54">
        <v>265453625</v>
      </c>
      <c r="C107" s="16"/>
      <c r="D107" s="9" t="s">
        <v>218</v>
      </c>
      <c r="E107" s="9" t="s">
        <v>330</v>
      </c>
      <c r="F107" s="9" t="s">
        <v>28</v>
      </c>
      <c r="G107" s="9" t="s">
        <v>361</v>
      </c>
      <c r="H107" s="9" t="s">
        <v>346</v>
      </c>
      <c r="I107" s="9" t="s">
        <v>127</v>
      </c>
      <c r="J107" s="9" t="s">
        <v>217</v>
      </c>
      <c r="K107" s="9" t="s">
        <v>219</v>
      </c>
      <c r="L107" s="9">
        <v>80</v>
      </c>
      <c r="M107" s="9" t="s">
        <v>140</v>
      </c>
      <c r="N107" s="9" t="s">
        <v>140</v>
      </c>
      <c r="O107" s="38" t="s">
        <v>73</v>
      </c>
      <c r="P107" s="9">
        <v>7396</v>
      </c>
      <c r="Q107" s="10" t="s">
        <v>12</v>
      </c>
      <c r="R107" s="11">
        <v>45613</v>
      </c>
      <c r="S107" s="11">
        <v>45624</v>
      </c>
      <c r="T107" s="11">
        <v>45622</v>
      </c>
      <c r="U107" s="69">
        <f t="shared" si="21"/>
        <v>0</v>
      </c>
      <c r="V107" s="69" t="str">
        <f t="shared" si="22"/>
        <v>متاخر</v>
      </c>
      <c r="W107" s="57">
        <f t="shared" si="23"/>
        <v>9</v>
      </c>
      <c r="X107" s="9" t="s">
        <v>267</v>
      </c>
      <c r="Y107" s="40" t="s">
        <v>165</v>
      </c>
    </row>
    <row r="108" spans="1:25" ht="20.100000000000001" customHeight="1" x14ac:dyDescent="0.3">
      <c r="A108" s="9">
        <v>110</v>
      </c>
      <c r="B108" s="54">
        <v>1762617</v>
      </c>
      <c r="C108" s="54">
        <v>1306879</v>
      </c>
      <c r="D108" s="9" t="s">
        <v>111</v>
      </c>
      <c r="E108" s="9" t="s">
        <v>330</v>
      </c>
      <c r="F108" s="9" t="s">
        <v>28</v>
      </c>
      <c r="G108" s="9" t="s">
        <v>361</v>
      </c>
      <c r="H108" s="9" t="s">
        <v>342</v>
      </c>
      <c r="I108" s="9" t="s">
        <v>127</v>
      </c>
      <c r="J108" s="9" t="s">
        <v>139</v>
      </c>
      <c r="K108" s="9" t="s">
        <v>131</v>
      </c>
      <c r="L108" s="9">
        <v>90</v>
      </c>
      <c r="M108" s="9" t="s">
        <v>171</v>
      </c>
      <c r="N108" s="9"/>
      <c r="O108" s="37" t="s">
        <v>279</v>
      </c>
      <c r="P108" s="9">
        <v>13439</v>
      </c>
      <c r="Q108" s="10">
        <v>13575</v>
      </c>
      <c r="R108" s="11">
        <v>45616</v>
      </c>
      <c r="S108" s="11">
        <v>45631</v>
      </c>
      <c r="T108" s="11">
        <v>45622</v>
      </c>
      <c r="U108" s="69">
        <f t="shared" si="21"/>
        <v>0</v>
      </c>
      <c r="V108" s="69" t="str">
        <f t="shared" si="22"/>
        <v>متاخر</v>
      </c>
      <c r="W108" s="57">
        <f t="shared" si="23"/>
        <v>6</v>
      </c>
      <c r="X108" s="9" t="s">
        <v>267</v>
      </c>
      <c r="Y108" s="40" t="s">
        <v>165</v>
      </c>
    </row>
    <row r="109" spans="1:25" ht="20.100000000000001" customHeight="1" x14ac:dyDescent="0.3">
      <c r="A109" s="9">
        <v>112</v>
      </c>
      <c r="B109" s="16"/>
      <c r="C109" s="16"/>
      <c r="D109" s="9" t="s">
        <v>221</v>
      </c>
      <c r="E109" s="9" t="s">
        <v>330</v>
      </c>
      <c r="F109" s="9" t="s">
        <v>37</v>
      </c>
      <c r="G109" s="9" t="s">
        <v>37</v>
      </c>
      <c r="H109" s="9" t="s">
        <v>343</v>
      </c>
      <c r="I109" s="9" t="s">
        <v>127</v>
      </c>
      <c r="J109" s="9" t="s">
        <v>130</v>
      </c>
      <c r="K109" s="9" t="s">
        <v>222</v>
      </c>
      <c r="L109" s="9">
        <v>160</v>
      </c>
      <c r="M109" s="9" t="s">
        <v>149</v>
      </c>
      <c r="N109" s="9" t="s">
        <v>140</v>
      </c>
      <c r="O109" s="9" t="s">
        <v>294</v>
      </c>
      <c r="P109" s="9">
        <v>6000</v>
      </c>
      <c r="Q109" s="10">
        <v>5800</v>
      </c>
      <c r="R109" s="11">
        <v>45618</v>
      </c>
      <c r="S109" s="11">
        <v>45628</v>
      </c>
      <c r="T109" s="11">
        <v>45623</v>
      </c>
      <c r="U109" s="69">
        <f t="shared" si="21"/>
        <v>0</v>
      </c>
      <c r="V109" s="69" t="str">
        <f t="shared" si="22"/>
        <v>متاخر</v>
      </c>
      <c r="W109" s="57">
        <f t="shared" si="23"/>
        <v>5</v>
      </c>
      <c r="X109" s="9" t="s">
        <v>267</v>
      </c>
      <c r="Y109" s="40" t="s">
        <v>165</v>
      </c>
    </row>
    <row r="110" spans="1:25" ht="20.100000000000001" customHeight="1" x14ac:dyDescent="0.3">
      <c r="A110" s="9">
        <v>113</v>
      </c>
      <c r="B110" s="54">
        <v>1765451</v>
      </c>
      <c r="C110" s="54">
        <v>1308241</v>
      </c>
      <c r="D110" s="9" t="s">
        <v>223</v>
      </c>
      <c r="E110" s="9" t="s">
        <v>330</v>
      </c>
      <c r="F110" s="9" t="s">
        <v>224</v>
      </c>
      <c r="G110" s="40" t="s">
        <v>323</v>
      </c>
      <c r="H110" s="40" t="s">
        <v>342</v>
      </c>
      <c r="I110" s="9" t="s">
        <v>127</v>
      </c>
      <c r="J110" s="9" t="s">
        <v>220</v>
      </c>
      <c r="K110" s="9" t="s">
        <v>225</v>
      </c>
      <c r="L110" s="9">
        <v>120</v>
      </c>
      <c r="M110" s="9" t="s">
        <v>145</v>
      </c>
      <c r="N110" s="9"/>
      <c r="O110" s="9" t="s">
        <v>290</v>
      </c>
      <c r="P110" s="9">
        <v>10885</v>
      </c>
      <c r="Q110" s="10">
        <v>7965</v>
      </c>
      <c r="R110" s="11">
        <v>45620</v>
      </c>
      <c r="S110" s="11">
        <v>45631</v>
      </c>
      <c r="T110" s="11">
        <v>45636</v>
      </c>
      <c r="U110" s="69">
        <f t="shared" si="21"/>
        <v>1</v>
      </c>
      <c r="V110" s="69" t="str">
        <f t="shared" si="22"/>
        <v>في الموعد</v>
      </c>
      <c r="W110" s="57">
        <f t="shared" si="23"/>
        <v>16</v>
      </c>
      <c r="X110" s="9" t="s">
        <v>267</v>
      </c>
      <c r="Y110" s="40" t="s">
        <v>165</v>
      </c>
    </row>
    <row r="111" spans="1:25" ht="20.100000000000001" customHeight="1" x14ac:dyDescent="0.3">
      <c r="A111" s="9">
        <v>114</v>
      </c>
      <c r="B111" s="16"/>
      <c r="C111" s="16">
        <v>2514</v>
      </c>
      <c r="D111" s="9" t="s">
        <v>30</v>
      </c>
      <c r="E111" s="9" t="s">
        <v>331</v>
      </c>
      <c r="F111" s="9" t="s">
        <v>34</v>
      </c>
      <c r="G111" s="9" t="s">
        <v>34</v>
      </c>
      <c r="H111" s="9" t="s">
        <v>32</v>
      </c>
      <c r="I111" s="9" t="s">
        <v>170</v>
      </c>
      <c r="J111" s="9" t="s">
        <v>226</v>
      </c>
      <c r="K111" s="9" t="s">
        <v>226</v>
      </c>
      <c r="L111" s="9"/>
      <c r="M111" s="9"/>
      <c r="N111" s="9"/>
      <c r="O111" s="9" t="s">
        <v>304</v>
      </c>
      <c r="P111" s="9">
        <v>6000</v>
      </c>
      <c r="Q111" s="10">
        <v>6000</v>
      </c>
      <c r="R111" s="11">
        <v>45615</v>
      </c>
      <c r="S111" s="11">
        <v>45631</v>
      </c>
      <c r="T111" s="11">
        <v>45616</v>
      </c>
      <c r="U111" s="69">
        <f t="shared" si="21"/>
        <v>0</v>
      </c>
      <c r="V111" s="69" t="str">
        <f t="shared" si="22"/>
        <v>متاخر</v>
      </c>
      <c r="W111" s="57">
        <f t="shared" si="23"/>
        <v>1</v>
      </c>
      <c r="X111" s="9" t="s">
        <v>227</v>
      </c>
      <c r="Y111" s="40" t="s">
        <v>165</v>
      </c>
    </row>
    <row r="112" spans="1:25" ht="20.100000000000001" customHeight="1" x14ac:dyDescent="0.3">
      <c r="A112" s="9">
        <v>115</v>
      </c>
      <c r="B112" s="54">
        <v>1782674</v>
      </c>
      <c r="C112" s="16">
        <v>1315860</v>
      </c>
      <c r="D112" s="9" t="s">
        <v>228</v>
      </c>
      <c r="E112" s="9" t="s">
        <v>330</v>
      </c>
      <c r="F112" s="9" t="s">
        <v>229</v>
      </c>
      <c r="G112" s="40" t="s">
        <v>324</v>
      </c>
      <c r="H112" s="40" t="s">
        <v>342</v>
      </c>
      <c r="I112" s="9" t="s">
        <v>230</v>
      </c>
      <c r="J112" s="9"/>
      <c r="K112" s="9" t="s">
        <v>231</v>
      </c>
      <c r="L112" s="9"/>
      <c r="M112" s="9"/>
      <c r="N112" s="9"/>
      <c r="O112" s="9" t="s">
        <v>274</v>
      </c>
      <c r="P112" s="9">
        <v>8449</v>
      </c>
      <c r="Q112" s="10" t="s">
        <v>12</v>
      </c>
      <c r="R112" s="11">
        <v>45623</v>
      </c>
      <c r="S112" s="11">
        <v>45636</v>
      </c>
      <c r="T112" s="11">
        <v>45649</v>
      </c>
      <c r="U112" s="69">
        <f t="shared" si="21"/>
        <v>1</v>
      </c>
      <c r="V112" s="69" t="str">
        <f t="shared" si="22"/>
        <v>في الموعد</v>
      </c>
      <c r="W112" s="57">
        <f t="shared" si="23"/>
        <v>26</v>
      </c>
      <c r="X112" s="40" t="s">
        <v>20</v>
      </c>
      <c r="Y112" s="40" t="s">
        <v>165</v>
      </c>
    </row>
    <row r="113" spans="1:25" ht="20.100000000000001" customHeight="1" x14ac:dyDescent="0.3">
      <c r="A113" s="9">
        <v>116</v>
      </c>
      <c r="B113" s="16">
        <v>1781530</v>
      </c>
      <c r="C113" s="54">
        <v>1315450</v>
      </c>
      <c r="D113" s="9" t="s">
        <v>232</v>
      </c>
      <c r="E113" s="9" t="s">
        <v>330</v>
      </c>
      <c r="F113" s="9" t="s">
        <v>44</v>
      </c>
      <c r="G113" s="40" t="s">
        <v>317</v>
      </c>
      <c r="H113" s="40" t="s">
        <v>342</v>
      </c>
      <c r="I113" s="9" t="s">
        <v>230</v>
      </c>
      <c r="J113" s="9" t="s">
        <v>233</v>
      </c>
      <c r="K113" s="9" t="s">
        <v>234</v>
      </c>
      <c r="L113" s="9"/>
      <c r="M113" s="9" t="s">
        <v>140</v>
      </c>
      <c r="N113" s="9" t="s">
        <v>235</v>
      </c>
      <c r="O113" s="9" t="s">
        <v>273</v>
      </c>
      <c r="P113" s="9">
        <v>10249</v>
      </c>
      <c r="Q113" s="10">
        <v>6211</v>
      </c>
      <c r="R113" s="11">
        <v>45623</v>
      </c>
      <c r="S113" s="11">
        <v>45636</v>
      </c>
      <c r="T113" s="11">
        <v>45645</v>
      </c>
      <c r="U113" s="69">
        <f t="shared" si="21"/>
        <v>1</v>
      </c>
      <c r="V113" s="69" t="str">
        <f t="shared" si="22"/>
        <v>في الموعد</v>
      </c>
      <c r="W113" s="57">
        <f t="shared" si="23"/>
        <v>22</v>
      </c>
      <c r="X113" s="9" t="s">
        <v>267</v>
      </c>
      <c r="Y113" s="40" t="s">
        <v>165</v>
      </c>
    </row>
    <row r="114" spans="1:25" ht="20.100000000000001" customHeight="1" x14ac:dyDescent="0.3">
      <c r="A114" s="5">
        <v>117</v>
      </c>
      <c r="B114" s="12">
        <v>1795447</v>
      </c>
      <c r="C114" s="12">
        <v>1321584</v>
      </c>
      <c r="D114" s="5" t="s">
        <v>236</v>
      </c>
      <c r="E114" s="5" t="s">
        <v>330</v>
      </c>
      <c r="F114" s="5" t="s">
        <v>237</v>
      </c>
      <c r="G114" s="5" t="s">
        <v>324</v>
      </c>
      <c r="H114" s="5" t="s">
        <v>342</v>
      </c>
      <c r="I114" s="5" t="s">
        <v>127</v>
      </c>
      <c r="J114" s="5" t="s">
        <v>139</v>
      </c>
      <c r="K114" s="5" t="s">
        <v>132</v>
      </c>
      <c r="L114" s="5">
        <v>100</v>
      </c>
      <c r="M114" s="9" t="s">
        <v>171</v>
      </c>
      <c r="N114" s="5" t="s">
        <v>141</v>
      </c>
      <c r="O114" s="5" t="s">
        <v>63</v>
      </c>
      <c r="P114" s="5">
        <v>14905</v>
      </c>
      <c r="Q114" s="7" t="s">
        <v>12</v>
      </c>
      <c r="R114" s="8">
        <v>45625</v>
      </c>
      <c r="S114" s="8">
        <v>45641</v>
      </c>
      <c r="T114" s="5"/>
      <c r="U114" s="5"/>
      <c r="V114" s="5"/>
      <c r="W114" s="7"/>
      <c r="X114" s="5" t="s">
        <v>252</v>
      </c>
      <c r="Y114" s="6" t="s">
        <v>266</v>
      </c>
    </row>
    <row r="115" spans="1:25" ht="20.100000000000001" customHeight="1" x14ac:dyDescent="0.3">
      <c r="A115" s="5">
        <v>118</v>
      </c>
      <c r="B115" s="55">
        <v>1808440</v>
      </c>
      <c r="C115" s="55">
        <v>1327172</v>
      </c>
      <c r="D115" s="5" t="s">
        <v>238</v>
      </c>
      <c r="E115" s="5" t="s">
        <v>330</v>
      </c>
      <c r="F115" s="5" t="s">
        <v>52</v>
      </c>
      <c r="G115" s="5" t="s">
        <v>52</v>
      </c>
      <c r="H115" s="5" t="s">
        <v>342</v>
      </c>
      <c r="I115" s="5" t="s">
        <v>230</v>
      </c>
      <c r="J115" s="5" t="s">
        <v>233</v>
      </c>
      <c r="K115" s="5" t="s">
        <v>234</v>
      </c>
      <c r="L115" s="5"/>
      <c r="M115" s="9" t="s">
        <v>171</v>
      </c>
      <c r="N115" s="5" t="s">
        <v>239</v>
      </c>
      <c r="O115" s="5" t="s">
        <v>273</v>
      </c>
      <c r="P115" s="5">
        <v>10249</v>
      </c>
      <c r="Q115" s="7" t="s">
        <v>12</v>
      </c>
      <c r="R115" s="8">
        <v>45626</v>
      </c>
      <c r="S115" s="8">
        <v>45638</v>
      </c>
      <c r="T115" s="5"/>
      <c r="U115" s="5"/>
      <c r="V115" s="5"/>
      <c r="W115" s="7"/>
      <c r="X115" s="5" t="s">
        <v>268</v>
      </c>
      <c r="Y115" s="6" t="s">
        <v>266</v>
      </c>
    </row>
    <row r="116" spans="1:25" ht="20.100000000000001" customHeight="1" x14ac:dyDescent="0.3">
      <c r="A116" s="5">
        <v>119</v>
      </c>
      <c r="B116" s="12">
        <v>1808441</v>
      </c>
      <c r="C116" s="55">
        <v>1327172</v>
      </c>
      <c r="D116" s="5" t="s">
        <v>240</v>
      </c>
      <c r="E116" s="5" t="s">
        <v>330</v>
      </c>
      <c r="F116" s="5" t="s">
        <v>52</v>
      </c>
      <c r="G116" s="5" t="s">
        <v>52</v>
      </c>
      <c r="H116" s="5" t="s">
        <v>342</v>
      </c>
      <c r="I116" s="5" t="s">
        <v>230</v>
      </c>
      <c r="J116" s="5" t="s">
        <v>162</v>
      </c>
      <c r="K116" s="5"/>
      <c r="L116" s="5"/>
      <c r="M116" s="9" t="s">
        <v>171</v>
      </c>
      <c r="N116" s="5" t="s">
        <v>241</v>
      </c>
      <c r="O116" s="5" t="s">
        <v>126</v>
      </c>
      <c r="P116" s="5">
        <v>9029</v>
      </c>
      <c r="Q116" s="7" t="s">
        <v>12</v>
      </c>
      <c r="R116" s="8">
        <v>45626</v>
      </c>
      <c r="S116" s="8">
        <v>45638</v>
      </c>
      <c r="T116" s="5"/>
      <c r="U116" s="5"/>
      <c r="V116" s="5"/>
      <c r="W116" s="7"/>
      <c r="X116" s="5" t="s">
        <v>268</v>
      </c>
      <c r="Y116" s="6" t="s">
        <v>266</v>
      </c>
    </row>
    <row r="117" spans="1:25" ht="20.100000000000001" customHeight="1" x14ac:dyDescent="0.3">
      <c r="A117" s="5">
        <v>121</v>
      </c>
      <c r="B117" s="55">
        <v>1813823</v>
      </c>
      <c r="C117" s="55">
        <v>1329646</v>
      </c>
      <c r="D117" s="5" t="s">
        <v>242</v>
      </c>
      <c r="E117" s="5" t="s">
        <v>330</v>
      </c>
      <c r="F117" s="5" t="s">
        <v>243</v>
      </c>
      <c r="G117" s="5" t="s">
        <v>243</v>
      </c>
      <c r="H117" s="5" t="s">
        <v>342</v>
      </c>
      <c r="I117" s="5" t="s">
        <v>127</v>
      </c>
      <c r="J117" s="5" t="s">
        <v>217</v>
      </c>
      <c r="K117" s="5" t="s">
        <v>129</v>
      </c>
      <c r="L117" s="5">
        <v>80</v>
      </c>
      <c r="M117" s="5" t="s">
        <v>140</v>
      </c>
      <c r="N117" s="5"/>
      <c r="O117" s="5" t="s">
        <v>287</v>
      </c>
      <c r="P117" s="5">
        <v>12099</v>
      </c>
      <c r="Q117" s="7" t="s">
        <v>12</v>
      </c>
      <c r="R117" s="8">
        <v>45628</v>
      </c>
      <c r="S117" s="8">
        <v>45643</v>
      </c>
      <c r="T117" s="5"/>
      <c r="U117" s="5"/>
      <c r="V117" s="5"/>
      <c r="W117" s="7"/>
      <c r="X117" s="5" t="s">
        <v>268</v>
      </c>
      <c r="Y117" s="6" t="s">
        <v>266</v>
      </c>
    </row>
    <row r="118" spans="1:25" ht="20.100000000000001" customHeight="1" x14ac:dyDescent="0.3">
      <c r="A118" s="9">
        <v>122</v>
      </c>
      <c r="B118" s="16" t="s">
        <v>244</v>
      </c>
      <c r="C118" s="16"/>
      <c r="D118" s="9" t="s">
        <v>67</v>
      </c>
      <c r="E118" s="9" t="s">
        <v>331</v>
      </c>
      <c r="F118" s="9" t="s">
        <v>166</v>
      </c>
      <c r="G118" s="9" t="s">
        <v>322</v>
      </c>
      <c r="H118" s="9" t="s">
        <v>344</v>
      </c>
      <c r="I118" s="9" t="s">
        <v>127</v>
      </c>
      <c r="J118" s="9" t="s">
        <v>217</v>
      </c>
      <c r="K118" s="9" t="s">
        <v>219</v>
      </c>
      <c r="L118" s="9">
        <v>90</v>
      </c>
      <c r="M118" s="9" t="s">
        <v>143</v>
      </c>
      <c r="N118" s="9" t="s">
        <v>143</v>
      </c>
      <c r="O118" s="37" t="s">
        <v>276</v>
      </c>
      <c r="P118" s="9">
        <v>5217</v>
      </c>
      <c r="Q118" s="10" t="s">
        <v>69</v>
      </c>
      <c r="R118" s="11">
        <v>45627</v>
      </c>
      <c r="S118" s="11">
        <v>45640</v>
      </c>
      <c r="T118" s="11">
        <v>45636</v>
      </c>
      <c r="U118" s="69">
        <f t="shared" ref="U118:U123" si="24">IF(S118&lt;=T118,1,0)</f>
        <v>0</v>
      </c>
      <c r="V118" s="69" t="str">
        <f t="shared" ref="V118:V123" si="25">IF(U118=0,"متاخر","في الموعد")</f>
        <v>متاخر</v>
      </c>
      <c r="W118" s="57">
        <f t="shared" ref="W118:W123" si="26">T118-R118</f>
        <v>9</v>
      </c>
      <c r="X118" s="9" t="s">
        <v>267</v>
      </c>
      <c r="Y118" s="40" t="s">
        <v>165</v>
      </c>
    </row>
    <row r="119" spans="1:25" ht="20.100000000000001" customHeight="1" x14ac:dyDescent="0.3">
      <c r="A119" s="9">
        <v>123</v>
      </c>
      <c r="B119" s="54">
        <v>1810950</v>
      </c>
      <c r="C119" s="54">
        <v>1328141</v>
      </c>
      <c r="D119" s="9" t="s">
        <v>245</v>
      </c>
      <c r="E119" s="9" t="s">
        <v>330</v>
      </c>
      <c r="F119" s="9" t="s">
        <v>115</v>
      </c>
      <c r="G119" s="40" t="s">
        <v>115</v>
      </c>
      <c r="H119" s="40" t="s">
        <v>342</v>
      </c>
      <c r="I119" s="9" t="s">
        <v>127</v>
      </c>
      <c r="J119" s="9" t="s">
        <v>128</v>
      </c>
      <c r="K119" s="9"/>
      <c r="L119" s="9"/>
      <c r="M119" s="9" t="s">
        <v>171</v>
      </c>
      <c r="N119" s="9" t="s">
        <v>141</v>
      </c>
      <c r="O119" s="9" t="s">
        <v>297</v>
      </c>
      <c r="P119" s="9">
        <v>10249</v>
      </c>
      <c r="Q119" s="10">
        <v>6211</v>
      </c>
      <c r="R119" s="11">
        <v>45630</v>
      </c>
      <c r="S119" s="11">
        <v>45640</v>
      </c>
      <c r="T119" s="11">
        <v>45645</v>
      </c>
      <c r="U119" s="69">
        <f t="shared" si="24"/>
        <v>1</v>
      </c>
      <c r="V119" s="69" t="str">
        <f t="shared" si="25"/>
        <v>في الموعد</v>
      </c>
      <c r="W119" s="57">
        <f t="shared" si="26"/>
        <v>15</v>
      </c>
      <c r="X119" s="9" t="s">
        <v>267</v>
      </c>
      <c r="Y119" s="40" t="s">
        <v>165</v>
      </c>
    </row>
    <row r="120" spans="1:25" ht="20.100000000000001" customHeight="1" x14ac:dyDescent="0.3">
      <c r="A120" s="9">
        <v>124</v>
      </c>
      <c r="B120" s="54">
        <v>240085463</v>
      </c>
      <c r="C120" s="16"/>
      <c r="D120" s="9" t="s">
        <v>246</v>
      </c>
      <c r="E120" s="9" t="s">
        <v>330</v>
      </c>
      <c r="F120" s="9" t="s">
        <v>247</v>
      </c>
      <c r="G120" s="9" t="s">
        <v>187</v>
      </c>
      <c r="H120" s="9" t="s">
        <v>22</v>
      </c>
      <c r="I120" s="9" t="s">
        <v>127</v>
      </c>
      <c r="J120" s="9" t="s">
        <v>139</v>
      </c>
      <c r="K120" s="9" t="s">
        <v>131</v>
      </c>
      <c r="L120" s="9"/>
      <c r="M120" s="9" t="s">
        <v>171</v>
      </c>
      <c r="N120" s="9"/>
      <c r="O120" s="37" t="s">
        <v>280</v>
      </c>
      <c r="P120" s="9">
        <v>10445</v>
      </c>
      <c r="Q120" s="10">
        <v>7707</v>
      </c>
      <c r="R120" s="11">
        <v>45635</v>
      </c>
      <c r="S120" s="11">
        <v>45657</v>
      </c>
      <c r="T120" s="11">
        <v>45638</v>
      </c>
      <c r="U120" s="69">
        <f t="shared" si="24"/>
        <v>0</v>
      </c>
      <c r="V120" s="69" t="str">
        <f t="shared" si="25"/>
        <v>متاخر</v>
      </c>
      <c r="W120" s="57">
        <f t="shared" si="26"/>
        <v>3</v>
      </c>
      <c r="X120" s="9" t="s">
        <v>267</v>
      </c>
      <c r="Y120" s="40" t="s">
        <v>165</v>
      </c>
    </row>
    <row r="121" spans="1:25" ht="20.100000000000001" customHeight="1" x14ac:dyDescent="0.3">
      <c r="A121" s="9">
        <v>125</v>
      </c>
      <c r="B121" s="54">
        <v>1818591</v>
      </c>
      <c r="C121" s="54">
        <v>1332300</v>
      </c>
      <c r="D121" s="9" t="s">
        <v>248</v>
      </c>
      <c r="E121" s="9" t="s">
        <v>330</v>
      </c>
      <c r="F121" s="9" t="s">
        <v>52</v>
      </c>
      <c r="G121" s="40" t="s">
        <v>52</v>
      </c>
      <c r="H121" s="40" t="s">
        <v>342</v>
      </c>
      <c r="I121" s="9" t="s">
        <v>230</v>
      </c>
      <c r="J121" s="9" t="s">
        <v>249</v>
      </c>
      <c r="K121" s="9" t="s">
        <v>234</v>
      </c>
      <c r="L121" s="9"/>
      <c r="M121" s="9" t="s">
        <v>171</v>
      </c>
      <c r="N121" s="9" t="s">
        <v>239</v>
      </c>
      <c r="O121" s="9" t="s">
        <v>273</v>
      </c>
      <c r="P121" s="9">
        <v>11199</v>
      </c>
      <c r="Q121" s="10">
        <v>11257</v>
      </c>
      <c r="R121" s="11">
        <v>45638</v>
      </c>
      <c r="S121" s="11">
        <v>45650</v>
      </c>
      <c r="T121" s="11">
        <v>45645</v>
      </c>
      <c r="U121" s="69">
        <f t="shared" si="24"/>
        <v>0</v>
      </c>
      <c r="V121" s="69" t="str">
        <f t="shared" si="25"/>
        <v>متاخر</v>
      </c>
      <c r="W121" s="57">
        <f t="shared" si="26"/>
        <v>7</v>
      </c>
      <c r="X121" s="9" t="s">
        <v>267</v>
      </c>
      <c r="Y121" s="40" t="s">
        <v>165</v>
      </c>
    </row>
    <row r="122" spans="1:25" ht="20.100000000000001" customHeight="1" x14ac:dyDescent="0.3">
      <c r="A122" s="9">
        <v>126</v>
      </c>
      <c r="B122" s="16">
        <v>1818396</v>
      </c>
      <c r="C122" s="16">
        <v>1332179</v>
      </c>
      <c r="D122" s="9" t="s">
        <v>250</v>
      </c>
      <c r="E122" s="9" t="s">
        <v>330</v>
      </c>
      <c r="F122" s="9" t="s">
        <v>28</v>
      </c>
      <c r="G122" s="9" t="s">
        <v>361</v>
      </c>
      <c r="H122" s="40" t="s">
        <v>342</v>
      </c>
      <c r="I122" s="9" t="s">
        <v>127</v>
      </c>
      <c r="J122" s="9" t="s">
        <v>139</v>
      </c>
      <c r="K122" s="9" t="s">
        <v>129</v>
      </c>
      <c r="L122" s="9">
        <v>80</v>
      </c>
      <c r="M122" s="9" t="s">
        <v>171</v>
      </c>
      <c r="N122" s="9"/>
      <c r="O122" s="9" t="s">
        <v>285</v>
      </c>
      <c r="P122" s="9">
        <v>13099</v>
      </c>
      <c r="Q122" s="10">
        <v>13231</v>
      </c>
      <c r="R122" s="11">
        <v>45638</v>
      </c>
      <c r="S122" s="11">
        <v>45654</v>
      </c>
      <c r="T122" s="11">
        <v>45655</v>
      </c>
      <c r="U122" s="69">
        <f t="shared" si="24"/>
        <v>1</v>
      </c>
      <c r="V122" s="69" t="str">
        <f t="shared" si="25"/>
        <v>في الموعد</v>
      </c>
      <c r="W122" s="57">
        <f t="shared" si="26"/>
        <v>17</v>
      </c>
      <c r="X122" s="9" t="s">
        <v>267</v>
      </c>
      <c r="Y122" s="40" t="s">
        <v>165</v>
      </c>
    </row>
    <row r="123" spans="1:25" ht="20.100000000000001" customHeight="1" x14ac:dyDescent="0.3">
      <c r="A123" s="9">
        <v>127</v>
      </c>
      <c r="B123" s="54">
        <v>240085758</v>
      </c>
      <c r="C123" s="16"/>
      <c r="D123" s="9" t="s">
        <v>39</v>
      </c>
      <c r="E123" s="9" t="s">
        <v>331</v>
      </c>
      <c r="F123" s="9" t="s">
        <v>184</v>
      </c>
      <c r="G123" s="9" t="s">
        <v>184</v>
      </c>
      <c r="H123" s="9" t="s">
        <v>22</v>
      </c>
      <c r="I123" s="9" t="s">
        <v>170</v>
      </c>
      <c r="J123" s="9" t="s">
        <v>138</v>
      </c>
      <c r="K123" s="9" t="s">
        <v>205</v>
      </c>
      <c r="L123" s="9"/>
      <c r="M123" s="9" t="s">
        <v>171</v>
      </c>
      <c r="N123" s="9" t="s">
        <v>251</v>
      </c>
      <c r="O123" s="37" t="s">
        <v>302</v>
      </c>
      <c r="P123" s="9">
        <v>8700</v>
      </c>
      <c r="Q123" s="10" t="s">
        <v>69</v>
      </c>
      <c r="R123" s="11">
        <v>45640</v>
      </c>
      <c r="S123" s="11">
        <v>45662</v>
      </c>
      <c r="T123" s="11">
        <v>45655</v>
      </c>
      <c r="U123" s="69">
        <f t="shared" si="24"/>
        <v>0</v>
      </c>
      <c r="V123" s="69" t="str">
        <f t="shared" si="25"/>
        <v>متاخر</v>
      </c>
      <c r="W123" s="57">
        <f t="shared" si="26"/>
        <v>15</v>
      </c>
      <c r="X123" s="9" t="s">
        <v>267</v>
      </c>
      <c r="Y123" s="40" t="s">
        <v>165</v>
      </c>
    </row>
    <row r="124" spans="1:25" ht="20.100000000000001" customHeight="1" x14ac:dyDescent="0.3">
      <c r="Y124" s="33"/>
    </row>
    <row r="125" spans="1:25" ht="20.100000000000001" customHeight="1" x14ac:dyDescent="0.3">
      <c r="Y125" s="33"/>
    </row>
    <row r="126" spans="1:25" ht="20.100000000000001" customHeight="1" x14ac:dyDescent="0.3">
      <c r="Y126" s="33"/>
    </row>
    <row r="127" spans="1:25" ht="20.100000000000001" customHeight="1" x14ac:dyDescent="0.3">
      <c r="Y127" s="33"/>
    </row>
    <row r="128" spans="1:25" ht="20.100000000000001" customHeight="1" x14ac:dyDescent="0.3">
      <c r="Y128" s="33"/>
    </row>
    <row r="129" spans="25:25" ht="20.100000000000001" customHeight="1" x14ac:dyDescent="0.3">
      <c r="Y129" s="33"/>
    </row>
    <row r="130" spans="25:25" ht="20.100000000000001" customHeight="1" x14ac:dyDescent="0.3">
      <c r="Y130" s="33"/>
    </row>
    <row r="131" spans="25:25" ht="20.100000000000001" customHeight="1" x14ac:dyDescent="0.3">
      <c r="Y131" s="33"/>
    </row>
    <row r="132" spans="25:25" ht="20.100000000000001" customHeight="1" x14ac:dyDescent="0.3">
      <c r="Y132" s="33"/>
    </row>
    <row r="133" spans="25:25" ht="20.100000000000001" customHeight="1" x14ac:dyDescent="0.3">
      <c r="Y133" s="33"/>
    </row>
    <row r="134" spans="25:25" ht="20.100000000000001" customHeight="1" x14ac:dyDescent="0.3">
      <c r="Y134" s="33"/>
    </row>
    <row r="135" spans="25:25" ht="20.100000000000001" customHeight="1" x14ac:dyDescent="0.3">
      <c r="Y135" s="33"/>
    </row>
    <row r="136" spans="25:25" ht="20.100000000000001" customHeight="1" x14ac:dyDescent="0.3">
      <c r="Y136" s="33"/>
    </row>
    <row r="137" spans="25:25" ht="20.100000000000001" customHeight="1" x14ac:dyDescent="0.3">
      <c r="Y137" s="33"/>
    </row>
    <row r="138" spans="25:25" ht="20.100000000000001" customHeight="1" x14ac:dyDescent="0.3">
      <c r="Y138" s="33"/>
    </row>
    <row r="139" spans="25:25" ht="20.100000000000001" customHeight="1" x14ac:dyDescent="0.3">
      <c r="Y139" s="33"/>
    </row>
    <row r="140" spans="25:25" ht="20.100000000000001" customHeight="1" x14ac:dyDescent="0.3">
      <c r="Y140" s="33"/>
    </row>
    <row r="141" spans="25:25" ht="20.100000000000001" customHeight="1" x14ac:dyDescent="0.3">
      <c r="Y141" s="33"/>
    </row>
    <row r="142" spans="25:25" ht="20.100000000000001" customHeight="1" x14ac:dyDescent="0.3">
      <c r="Y142" s="33"/>
    </row>
    <row r="143" spans="25:25" ht="20.100000000000001" customHeight="1" x14ac:dyDescent="0.3">
      <c r="Y143" s="33"/>
    </row>
    <row r="144" spans="25:25" ht="20.100000000000001" customHeight="1" x14ac:dyDescent="0.3">
      <c r="Y144" s="33"/>
    </row>
    <row r="145" spans="25:25" ht="20.100000000000001" customHeight="1" x14ac:dyDescent="0.3">
      <c r="Y145" s="33"/>
    </row>
    <row r="146" spans="25:25" ht="20.100000000000001" customHeight="1" x14ac:dyDescent="0.3">
      <c r="Y146" s="33"/>
    </row>
    <row r="147" spans="25:25" ht="20.100000000000001" customHeight="1" x14ac:dyDescent="0.3">
      <c r="Y147" s="33"/>
    </row>
    <row r="148" spans="25:25" ht="20.100000000000001" customHeight="1" x14ac:dyDescent="0.3">
      <c r="Y148" s="33"/>
    </row>
    <row r="149" spans="25:25" ht="20.100000000000001" customHeight="1" x14ac:dyDescent="0.3">
      <c r="Y149" s="33"/>
    </row>
    <row r="150" spans="25:25" ht="20.100000000000001" customHeight="1" x14ac:dyDescent="0.3">
      <c r="Y150" s="33"/>
    </row>
    <row r="151" spans="25:25" ht="20.100000000000001" customHeight="1" x14ac:dyDescent="0.3">
      <c r="Y151" s="33"/>
    </row>
    <row r="152" spans="25:25" ht="20.100000000000001" customHeight="1" x14ac:dyDescent="0.3">
      <c r="Y152" s="33"/>
    </row>
    <row r="153" spans="25:25" ht="20.100000000000001" customHeight="1" x14ac:dyDescent="0.3">
      <c r="Y153" s="33"/>
    </row>
    <row r="154" spans="25:25" ht="20.100000000000001" customHeight="1" x14ac:dyDescent="0.3">
      <c r="Y154" s="33"/>
    </row>
    <row r="155" spans="25:25" ht="20.100000000000001" customHeight="1" x14ac:dyDescent="0.3">
      <c r="Y155" s="33"/>
    </row>
    <row r="156" spans="25:25" ht="20.100000000000001" customHeight="1" x14ac:dyDescent="0.3">
      <c r="Y156" s="33"/>
    </row>
    <row r="157" spans="25:25" ht="20.100000000000001" customHeight="1" x14ac:dyDescent="0.3">
      <c r="Y157" s="33"/>
    </row>
    <row r="158" spans="25:25" ht="20.100000000000001" customHeight="1" x14ac:dyDescent="0.3">
      <c r="Y158" s="33"/>
    </row>
    <row r="159" spans="25:25" ht="20.100000000000001" customHeight="1" x14ac:dyDescent="0.3">
      <c r="Y159" s="33"/>
    </row>
    <row r="160" spans="25:25" ht="20.100000000000001" customHeight="1" x14ac:dyDescent="0.3">
      <c r="Y160" s="33"/>
    </row>
    <row r="161" spans="25:25" ht="20.100000000000001" customHeight="1" x14ac:dyDescent="0.3">
      <c r="Y161" s="33"/>
    </row>
    <row r="162" spans="25:25" ht="20.100000000000001" customHeight="1" x14ac:dyDescent="0.3">
      <c r="Y162" s="33"/>
    </row>
    <row r="163" spans="25:25" ht="20.100000000000001" customHeight="1" x14ac:dyDescent="0.3">
      <c r="Y163" s="33"/>
    </row>
    <row r="164" spans="25:25" ht="20.100000000000001" customHeight="1" x14ac:dyDescent="0.3">
      <c r="Y164" s="33"/>
    </row>
    <row r="165" spans="25:25" ht="20.100000000000001" customHeight="1" x14ac:dyDescent="0.3">
      <c r="Y165" s="33"/>
    </row>
    <row r="166" spans="25:25" ht="20.100000000000001" customHeight="1" x14ac:dyDescent="0.3">
      <c r="Y166" s="33"/>
    </row>
    <row r="167" spans="25:25" ht="20.100000000000001" customHeight="1" x14ac:dyDescent="0.3">
      <c r="Y167" s="33"/>
    </row>
    <row r="168" spans="25:25" ht="20.100000000000001" customHeight="1" x14ac:dyDescent="0.3">
      <c r="Y168" s="33"/>
    </row>
    <row r="169" spans="25:25" ht="20.100000000000001" customHeight="1" x14ac:dyDescent="0.3">
      <c r="Y169" s="33"/>
    </row>
    <row r="170" spans="25:25" ht="20.100000000000001" customHeight="1" x14ac:dyDescent="0.3">
      <c r="Y170" s="33"/>
    </row>
    <row r="171" spans="25:25" ht="20.100000000000001" customHeight="1" x14ac:dyDescent="0.3">
      <c r="Y171" s="33"/>
    </row>
    <row r="172" spans="25:25" ht="20.100000000000001" customHeight="1" x14ac:dyDescent="0.3">
      <c r="Y172" s="33"/>
    </row>
    <row r="173" spans="25:25" ht="20.100000000000001" customHeight="1" x14ac:dyDescent="0.3">
      <c r="Y173" s="33"/>
    </row>
    <row r="174" spans="25:25" ht="20.100000000000001" customHeight="1" x14ac:dyDescent="0.3">
      <c r="Y174" s="33"/>
    </row>
    <row r="175" spans="25:25" ht="20.100000000000001" customHeight="1" x14ac:dyDescent="0.3">
      <c r="Y175" s="33"/>
    </row>
    <row r="176" spans="25:25" ht="20.100000000000001" customHeight="1" x14ac:dyDescent="0.3">
      <c r="Y176" s="33"/>
    </row>
    <row r="177" spans="25:25" ht="20.100000000000001" customHeight="1" x14ac:dyDescent="0.3">
      <c r="Y177" s="33"/>
    </row>
    <row r="178" spans="25:25" ht="20.100000000000001" customHeight="1" x14ac:dyDescent="0.3">
      <c r="Y178" s="33"/>
    </row>
    <row r="179" spans="25:25" ht="20.100000000000001" customHeight="1" x14ac:dyDescent="0.3">
      <c r="Y179" s="33"/>
    </row>
    <row r="180" spans="25:25" ht="20.100000000000001" customHeight="1" x14ac:dyDescent="0.3">
      <c r="Y180" s="33"/>
    </row>
    <row r="181" spans="25:25" ht="20.100000000000001" customHeight="1" x14ac:dyDescent="0.3">
      <c r="Y181" s="33"/>
    </row>
    <row r="182" spans="25:25" ht="20.100000000000001" customHeight="1" x14ac:dyDescent="0.3">
      <c r="Y182" s="33"/>
    </row>
    <row r="183" spans="25:25" ht="20.100000000000001" customHeight="1" x14ac:dyDescent="0.3">
      <c r="Y183" s="33"/>
    </row>
    <row r="184" spans="25:25" ht="20.100000000000001" customHeight="1" x14ac:dyDescent="0.3">
      <c r="Y184" s="33"/>
    </row>
    <row r="185" spans="25:25" ht="20.100000000000001" customHeight="1" x14ac:dyDescent="0.3">
      <c r="Y185" s="33"/>
    </row>
    <row r="186" spans="25:25" ht="20.100000000000001" customHeight="1" x14ac:dyDescent="0.3">
      <c r="Y186" s="33"/>
    </row>
    <row r="187" spans="25:25" ht="20.100000000000001" customHeight="1" x14ac:dyDescent="0.3">
      <c r="Y187" s="33"/>
    </row>
    <row r="188" spans="25:25" ht="20.100000000000001" customHeight="1" x14ac:dyDescent="0.3">
      <c r="Y188" s="33"/>
    </row>
    <row r="189" spans="25:25" ht="20.100000000000001" customHeight="1" x14ac:dyDescent="0.3">
      <c r="Y189" s="33"/>
    </row>
    <row r="190" spans="25:25" ht="20.100000000000001" customHeight="1" x14ac:dyDescent="0.3">
      <c r="Y190" s="33"/>
    </row>
    <row r="191" spans="25:25" ht="20.100000000000001" customHeight="1" x14ac:dyDescent="0.3">
      <c r="Y191" s="33"/>
    </row>
    <row r="192" spans="25:25" ht="20.100000000000001" customHeight="1" x14ac:dyDescent="0.3">
      <c r="Y192" s="33"/>
    </row>
    <row r="193" spans="25:25" ht="20.100000000000001" customHeight="1" x14ac:dyDescent="0.3">
      <c r="Y193" s="33"/>
    </row>
    <row r="194" spans="25:25" ht="20.100000000000001" customHeight="1" x14ac:dyDescent="0.3">
      <c r="Y194" s="33"/>
    </row>
    <row r="195" spans="25:25" ht="20.100000000000001" customHeight="1" x14ac:dyDescent="0.3">
      <c r="Y195" s="33"/>
    </row>
    <row r="196" spans="25:25" ht="20.100000000000001" customHeight="1" x14ac:dyDescent="0.3">
      <c r="Y196" s="33"/>
    </row>
    <row r="197" spans="25:25" ht="20.100000000000001" customHeight="1" x14ac:dyDescent="0.3">
      <c r="Y197" s="33"/>
    </row>
    <row r="198" spans="25:25" ht="20.100000000000001" customHeight="1" x14ac:dyDescent="0.3">
      <c r="Y198" s="33"/>
    </row>
    <row r="199" spans="25:25" ht="20.100000000000001" customHeight="1" x14ac:dyDescent="0.3">
      <c r="Y199" s="33"/>
    </row>
    <row r="200" spans="25:25" ht="20.100000000000001" customHeight="1" x14ac:dyDescent="0.3">
      <c r="Y200" s="33"/>
    </row>
    <row r="201" spans="25:25" ht="20.100000000000001" customHeight="1" x14ac:dyDescent="0.3">
      <c r="Y201" s="33"/>
    </row>
    <row r="202" spans="25:25" ht="20.100000000000001" customHeight="1" x14ac:dyDescent="0.3">
      <c r="Y202" s="33"/>
    </row>
    <row r="203" spans="25:25" ht="20.100000000000001" customHeight="1" x14ac:dyDescent="0.3">
      <c r="Y203" s="33"/>
    </row>
    <row r="204" spans="25:25" ht="20.100000000000001" customHeight="1" x14ac:dyDescent="0.3">
      <c r="Y204" s="33"/>
    </row>
    <row r="205" spans="25:25" ht="20.100000000000001" customHeight="1" x14ac:dyDescent="0.3">
      <c r="Y205" s="33"/>
    </row>
    <row r="206" spans="25:25" ht="20.100000000000001" customHeight="1" x14ac:dyDescent="0.3">
      <c r="Y206" s="33"/>
    </row>
    <row r="207" spans="25:25" ht="20.100000000000001" customHeight="1" x14ac:dyDescent="0.3">
      <c r="Y207" s="33"/>
    </row>
    <row r="208" spans="25:25" ht="20.100000000000001" customHeight="1" x14ac:dyDescent="0.3">
      <c r="Y208" s="33"/>
    </row>
    <row r="209" spans="25:25" ht="20.100000000000001" customHeight="1" x14ac:dyDescent="0.3">
      <c r="Y209" s="33"/>
    </row>
    <row r="210" spans="25:25" ht="20.100000000000001" customHeight="1" x14ac:dyDescent="0.3">
      <c r="Y210" s="33"/>
    </row>
    <row r="211" spans="25:25" ht="20.100000000000001" customHeight="1" x14ac:dyDescent="0.3">
      <c r="Y211" s="33"/>
    </row>
    <row r="212" spans="25:25" ht="20.100000000000001" customHeight="1" x14ac:dyDescent="0.3">
      <c r="Y212" s="33"/>
    </row>
    <row r="213" spans="25:25" ht="20.100000000000001" customHeight="1" x14ac:dyDescent="0.3">
      <c r="Y213" s="33"/>
    </row>
    <row r="214" spans="25:25" ht="20.100000000000001" customHeight="1" x14ac:dyDescent="0.3">
      <c r="Y214" s="33"/>
    </row>
    <row r="215" spans="25:25" ht="20.100000000000001" customHeight="1" x14ac:dyDescent="0.3">
      <c r="Y215" s="33"/>
    </row>
    <row r="216" spans="25:25" ht="20.100000000000001" customHeight="1" x14ac:dyDescent="0.3">
      <c r="Y216" s="33"/>
    </row>
    <row r="217" spans="25:25" ht="20.100000000000001" customHeight="1" x14ac:dyDescent="0.3">
      <c r="Y217" s="33"/>
    </row>
    <row r="218" spans="25:25" ht="20.100000000000001" customHeight="1" x14ac:dyDescent="0.3">
      <c r="Y218" s="33"/>
    </row>
    <row r="219" spans="25:25" ht="20.100000000000001" customHeight="1" x14ac:dyDescent="0.3">
      <c r="Y219" s="33"/>
    </row>
    <row r="220" spans="25:25" ht="20.100000000000001" customHeight="1" x14ac:dyDescent="0.3">
      <c r="Y220" s="33"/>
    </row>
    <row r="221" spans="25:25" ht="20.100000000000001" customHeight="1" x14ac:dyDescent="0.3">
      <c r="Y221" s="33"/>
    </row>
    <row r="222" spans="25:25" ht="20.100000000000001" customHeight="1" x14ac:dyDescent="0.3">
      <c r="Y222" s="33"/>
    </row>
    <row r="223" spans="25:25" ht="20.100000000000001" customHeight="1" x14ac:dyDescent="0.3">
      <c r="Y223" s="33"/>
    </row>
    <row r="224" spans="25:25" ht="20.100000000000001" customHeight="1" x14ac:dyDescent="0.3">
      <c r="Y224" s="33"/>
    </row>
    <row r="225" spans="25:25" ht="20.100000000000001" customHeight="1" x14ac:dyDescent="0.3">
      <c r="Y225" s="33"/>
    </row>
    <row r="226" spans="25:25" ht="20.100000000000001" customHeight="1" x14ac:dyDescent="0.3">
      <c r="Y226" s="33"/>
    </row>
    <row r="227" spans="25:25" ht="20.100000000000001" customHeight="1" x14ac:dyDescent="0.3">
      <c r="Y227" s="33"/>
    </row>
    <row r="228" spans="25:25" ht="20.100000000000001" customHeight="1" x14ac:dyDescent="0.3">
      <c r="Y228" s="33"/>
    </row>
    <row r="229" spans="25:25" ht="20.100000000000001" customHeight="1" x14ac:dyDescent="0.3">
      <c r="Y229" s="33"/>
    </row>
    <row r="230" spans="25:25" ht="20.100000000000001" customHeight="1" x14ac:dyDescent="0.3">
      <c r="Y230" s="33"/>
    </row>
    <row r="231" spans="25:25" ht="20.100000000000001" customHeight="1" x14ac:dyDescent="0.3">
      <c r="Y231" s="33"/>
    </row>
    <row r="232" spans="25:25" ht="20.100000000000001" customHeight="1" x14ac:dyDescent="0.3">
      <c r="Y232" s="33"/>
    </row>
    <row r="233" spans="25:25" ht="20.100000000000001" customHeight="1" x14ac:dyDescent="0.3">
      <c r="Y233" s="33"/>
    </row>
    <row r="234" spans="25:25" ht="20.100000000000001" customHeight="1" x14ac:dyDescent="0.3">
      <c r="Y234" s="33"/>
    </row>
    <row r="235" spans="25:25" ht="20.100000000000001" customHeight="1" x14ac:dyDescent="0.3">
      <c r="Y235" s="33"/>
    </row>
    <row r="236" spans="25:25" ht="20.100000000000001" customHeight="1" x14ac:dyDescent="0.3">
      <c r="Y236" s="33"/>
    </row>
    <row r="237" spans="25:25" ht="20.100000000000001" customHeight="1" x14ac:dyDescent="0.3">
      <c r="Y237" s="33"/>
    </row>
    <row r="238" spans="25:25" ht="20.100000000000001" customHeight="1" x14ac:dyDescent="0.3">
      <c r="Y238" s="33"/>
    </row>
    <row r="239" spans="25:25" ht="20.100000000000001" customHeight="1" x14ac:dyDescent="0.3">
      <c r="Y239" s="33"/>
    </row>
    <row r="240" spans="25:25" ht="20.100000000000001" customHeight="1" x14ac:dyDescent="0.3">
      <c r="Y240" s="33"/>
    </row>
    <row r="241" spans="25:25" ht="20.100000000000001" customHeight="1" x14ac:dyDescent="0.3">
      <c r="Y241" s="33"/>
    </row>
    <row r="242" spans="25:25" ht="20.100000000000001" customHeight="1" x14ac:dyDescent="0.3">
      <c r="Y242" s="33"/>
    </row>
    <row r="243" spans="25:25" ht="20.100000000000001" customHeight="1" x14ac:dyDescent="0.3">
      <c r="Y243" s="33"/>
    </row>
    <row r="244" spans="25:25" ht="20.100000000000001" customHeight="1" x14ac:dyDescent="0.3">
      <c r="Y244" s="33"/>
    </row>
    <row r="245" spans="25:25" ht="20.100000000000001" customHeight="1" x14ac:dyDescent="0.3">
      <c r="Y245" s="33"/>
    </row>
    <row r="246" spans="25:25" ht="20.100000000000001" customHeight="1" x14ac:dyDescent="0.3">
      <c r="Y246" s="33"/>
    </row>
    <row r="247" spans="25:25" ht="20.100000000000001" customHeight="1" x14ac:dyDescent="0.3">
      <c r="Y247" s="33"/>
    </row>
    <row r="248" spans="25:25" ht="20.100000000000001" customHeight="1" x14ac:dyDescent="0.3">
      <c r="Y248" s="33"/>
    </row>
    <row r="249" spans="25:25" ht="20.100000000000001" customHeight="1" x14ac:dyDescent="0.3">
      <c r="Y249" s="33"/>
    </row>
    <row r="250" spans="25:25" ht="20.100000000000001" customHeight="1" x14ac:dyDescent="0.3">
      <c r="Y250" s="33"/>
    </row>
    <row r="251" spans="25:25" ht="20.100000000000001" customHeight="1" x14ac:dyDescent="0.3">
      <c r="Y251" s="33"/>
    </row>
    <row r="252" spans="25:25" ht="20.100000000000001" customHeight="1" x14ac:dyDescent="0.3">
      <c r="Y252" s="33"/>
    </row>
    <row r="253" spans="25:25" ht="20.100000000000001" customHeight="1" x14ac:dyDescent="0.3">
      <c r="Y253" s="33"/>
    </row>
    <row r="254" spans="25:25" ht="20.100000000000001" customHeight="1" x14ac:dyDescent="0.3">
      <c r="Y254" s="33"/>
    </row>
    <row r="255" spans="25:25" ht="20.100000000000001" customHeight="1" x14ac:dyDescent="0.3">
      <c r="Y255" s="33"/>
    </row>
    <row r="256" spans="25:25" ht="20.100000000000001" customHeight="1" x14ac:dyDescent="0.3">
      <c r="Y256" s="33"/>
    </row>
    <row r="257" spans="25:25" ht="20.100000000000001" customHeight="1" x14ac:dyDescent="0.3">
      <c r="Y257" s="33"/>
    </row>
    <row r="258" spans="25:25" ht="20.100000000000001" customHeight="1" x14ac:dyDescent="0.3">
      <c r="Y258" s="33"/>
    </row>
    <row r="259" spans="25:25" ht="20.100000000000001" customHeight="1" x14ac:dyDescent="0.3">
      <c r="Y259" s="33"/>
    </row>
    <row r="260" spans="25:25" ht="20.100000000000001" customHeight="1" x14ac:dyDescent="0.3">
      <c r="Y260" s="33"/>
    </row>
    <row r="261" spans="25:25" ht="20.100000000000001" customHeight="1" x14ac:dyDescent="0.3">
      <c r="Y261" s="33"/>
    </row>
    <row r="262" spans="25:25" ht="20.100000000000001" customHeight="1" x14ac:dyDescent="0.3">
      <c r="Y262" s="33"/>
    </row>
    <row r="263" spans="25:25" ht="20.100000000000001" customHeight="1" x14ac:dyDescent="0.3">
      <c r="Y263" s="33"/>
    </row>
    <row r="264" spans="25:25" ht="20.100000000000001" customHeight="1" x14ac:dyDescent="0.3">
      <c r="Y264" s="33"/>
    </row>
    <row r="265" spans="25:25" ht="20.100000000000001" customHeight="1" x14ac:dyDescent="0.3">
      <c r="Y265" s="33"/>
    </row>
    <row r="266" spans="25:25" ht="20.100000000000001" customHeight="1" x14ac:dyDescent="0.3">
      <c r="Y266" s="33"/>
    </row>
    <row r="267" spans="25:25" ht="20.100000000000001" customHeight="1" x14ac:dyDescent="0.3">
      <c r="Y267" s="33"/>
    </row>
    <row r="268" spans="25:25" ht="20.100000000000001" customHeight="1" x14ac:dyDescent="0.3">
      <c r="Y268" s="33"/>
    </row>
    <row r="269" spans="25:25" ht="20.100000000000001" customHeight="1" x14ac:dyDescent="0.3">
      <c r="Y269" s="33"/>
    </row>
    <row r="270" spans="25:25" ht="20.100000000000001" customHeight="1" x14ac:dyDescent="0.3">
      <c r="Y270" s="33"/>
    </row>
    <row r="271" spans="25:25" ht="20.100000000000001" customHeight="1" x14ac:dyDescent="0.3">
      <c r="Y271" s="33"/>
    </row>
    <row r="272" spans="25:25" ht="20.100000000000001" customHeight="1" x14ac:dyDescent="0.3">
      <c r="Y272" s="33"/>
    </row>
    <row r="273" spans="25:25" ht="20.100000000000001" customHeight="1" x14ac:dyDescent="0.3">
      <c r="Y273" s="33"/>
    </row>
    <row r="274" spans="25:25" ht="20.100000000000001" customHeight="1" x14ac:dyDescent="0.3">
      <c r="Y274" s="33"/>
    </row>
    <row r="275" spans="25:25" ht="20.100000000000001" customHeight="1" x14ac:dyDescent="0.3">
      <c r="Y275" s="33"/>
    </row>
    <row r="276" spans="25:25" ht="20.100000000000001" customHeight="1" x14ac:dyDescent="0.3">
      <c r="Y276" s="33"/>
    </row>
    <row r="277" spans="25:25" ht="20.100000000000001" customHeight="1" x14ac:dyDescent="0.3">
      <c r="Y277" s="33"/>
    </row>
    <row r="278" spans="25:25" ht="20.100000000000001" customHeight="1" x14ac:dyDescent="0.3">
      <c r="Y278" s="33"/>
    </row>
    <row r="279" spans="25:25" ht="20.100000000000001" customHeight="1" x14ac:dyDescent="0.3">
      <c r="Y279" s="33"/>
    </row>
    <row r="280" spans="25:25" ht="20.100000000000001" customHeight="1" x14ac:dyDescent="0.3">
      <c r="Y280" s="33"/>
    </row>
    <row r="281" spans="25:25" ht="20.100000000000001" customHeight="1" x14ac:dyDescent="0.3">
      <c r="Y281" s="33"/>
    </row>
    <row r="282" spans="25:25" ht="20.100000000000001" customHeight="1" x14ac:dyDescent="0.3">
      <c r="Y282" s="33"/>
    </row>
    <row r="283" spans="25:25" ht="20.100000000000001" customHeight="1" x14ac:dyDescent="0.3">
      <c r="Y283" s="33"/>
    </row>
    <row r="284" spans="25:25" ht="20.100000000000001" customHeight="1" x14ac:dyDescent="0.3">
      <c r="Y284" s="33"/>
    </row>
    <row r="285" spans="25:25" ht="20.100000000000001" customHeight="1" x14ac:dyDescent="0.3">
      <c r="Y285" s="33"/>
    </row>
    <row r="286" spans="25:25" ht="20.100000000000001" customHeight="1" x14ac:dyDescent="0.3">
      <c r="Y286" s="33"/>
    </row>
    <row r="287" spans="25:25" ht="20.100000000000001" customHeight="1" x14ac:dyDescent="0.3">
      <c r="Y287" s="33"/>
    </row>
    <row r="288" spans="25:25" ht="20.100000000000001" customHeight="1" x14ac:dyDescent="0.3">
      <c r="Y288" s="33"/>
    </row>
    <row r="289" spans="25:25" ht="20.100000000000001" customHeight="1" x14ac:dyDescent="0.3">
      <c r="Y289" s="33"/>
    </row>
    <row r="290" spans="25:25" ht="20.100000000000001" customHeight="1" x14ac:dyDescent="0.3">
      <c r="Y290" s="33"/>
    </row>
    <row r="291" spans="25:25" ht="20.100000000000001" customHeight="1" x14ac:dyDescent="0.3">
      <c r="Y291" s="33"/>
    </row>
    <row r="292" spans="25:25" ht="20.100000000000001" customHeight="1" x14ac:dyDescent="0.3">
      <c r="Y292" s="33"/>
    </row>
    <row r="293" spans="25:25" ht="20.100000000000001" customHeight="1" x14ac:dyDescent="0.3">
      <c r="Y293" s="33"/>
    </row>
    <row r="294" spans="25:25" ht="20.100000000000001" customHeight="1" x14ac:dyDescent="0.3">
      <c r="Y294" s="33"/>
    </row>
    <row r="295" spans="25:25" ht="20.100000000000001" customHeight="1" x14ac:dyDescent="0.3">
      <c r="Y295" s="33"/>
    </row>
    <row r="296" spans="25:25" ht="20.100000000000001" customHeight="1" x14ac:dyDescent="0.3">
      <c r="Y296" s="33"/>
    </row>
    <row r="297" spans="25:25" ht="20.100000000000001" customHeight="1" x14ac:dyDescent="0.3">
      <c r="Y297" s="33"/>
    </row>
    <row r="298" spans="25:25" ht="20.100000000000001" customHeight="1" x14ac:dyDescent="0.3">
      <c r="Y298" s="33"/>
    </row>
    <row r="299" spans="25:25" ht="20.100000000000001" customHeight="1" x14ac:dyDescent="0.3">
      <c r="Y299" s="33"/>
    </row>
    <row r="300" spans="25:25" ht="20.100000000000001" customHeight="1" x14ac:dyDescent="0.3">
      <c r="Y300" s="33"/>
    </row>
    <row r="301" spans="25:25" ht="20.100000000000001" customHeight="1" x14ac:dyDescent="0.3">
      <c r="Y301" s="33"/>
    </row>
    <row r="302" spans="25:25" ht="20.100000000000001" customHeight="1" x14ac:dyDescent="0.3">
      <c r="Y302" s="33"/>
    </row>
    <row r="303" spans="25:25" ht="20.100000000000001" customHeight="1" x14ac:dyDescent="0.3">
      <c r="Y303" s="33"/>
    </row>
    <row r="304" spans="25:25" ht="20.100000000000001" customHeight="1" x14ac:dyDescent="0.3">
      <c r="Y304" s="33"/>
    </row>
    <row r="305" spans="25:25" ht="20.100000000000001" customHeight="1" x14ac:dyDescent="0.3">
      <c r="Y305" s="33"/>
    </row>
    <row r="306" spans="25:25" ht="20.100000000000001" customHeight="1" x14ac:dyDescent="0.3">
      <c r="Y306" s="33"/>
    </row>
    <row r="307" spans="25:25" ht="20.100000000000001" customHeight="1" x14ac:dyDescent="0.3">
      <c r="Y307" s="33"/>
    </row>
    <row r="308" spans="25:25" ht="20.100000000000001" customHeight="1" x14ac:dyDescent="0.3">
      <c r="Y308" s="33"/>
    </row>
    <row r="309" spans="25:25" ht="20.100000000000001" customHeight="1" x14ac:dyDescent="0.3">
      <c r="Y309" s="33"/>
    </row>
    <row r="310" spans="25:25" ht="20.100000000000001" customHeight="1" x14ac:dyDescent="0.3">
      <c r="Y310" s="33"/>
    </row>
    <row r="311" spans="25:25" ht="20.100000000000001" customHeight="1" x14ac:dyDescent="0.3">
      <c r="Y311" s="33"/>
    </row>
    <row r="312" spans="25:25" ht="20.100000000000001" customHeight="1" x14ac:dyDescent="0.3">
      <c r="Y312" s="33"/>
    </row>
    <row r="313" spans="25:25" ht="20.100000000000001" customHeight="1" x14ac:dyDescent="0.3">
      <c r="Y313" s="33"/>
    </row>
    <row r="314" spans="25:25" ht="20.100000000000001" customHeight="1" x14ac:dyDescent="0.3">
      <c r="Y314" s="33"/>
    </row>
    <row r="315" spans="25:25" ht="20.100000000000001" customHeight="1" x14ac:dyDescent="0.3">
      <c r="Y315" s="33"/>
    </row>
    <row r="316" spans="25:25" ht="20.100000000000001" customHeight="1" x14ac:dyDescent="0.3">
      <c r="Y316" s="33"/>
    </row>
    <row r="317" spans="25:25" ht="20.100000000000001" customHeight="1" x14ac:dyDescent="0.3">
      <c r="Y317" s="33"/>
    </row>
    <row r="318" spans="25:25" ht="20.100000000000001" customHeight="1" x14ac:dyDescent="0.3">
      <c r="Y318" s="33"/>
    </row>
    <row r="319" spans="25:25" ht="20.100000000000001" customHeight="1" x14ac:dyDescent="0.3">
      <c r="Y319" s="33"/>
    </row>
    <row r="320" spans="25:25" ht="20.100000000000001" customHeight="1" x14ac:dyDescent="0.3">
      <c r="Y320" s="33"/>
    </row>
    <row r="321" spans="25:25" ht="20.100000000000001" customHeight="1" x14ac:dyDescent="0.3">
      <c r="Y321" s="33"/>
    </row>
    <row r="322" spans="25:25" ht="20.100000000000001" customHeight="1" x14ac:dyDescent="0.3">
      <c r="Y322" s="33"/>
    </row>
    <row r="323" spans="25:25" ht="20.100000000000001" customHeight="1" x14ac:dyDescent="0.3">
      <c r="Y323" s="33"/>
    </row>
    <row r="324" spans="25:25" ht="20.100000000000001" customHeight="1" x14ac:dyDescent="0.3">
      <c r="Y324" s="33"/>
    </row>
    <row r="325" spans="25:25" ht="20.100000000000001" customHeight="1" x14ac:dyDescent="0.3">
      <c r="Y325" s="33"/>
    </row>
    <row r="326" spans="25:25" ht="20.100000000000001" customHeight="1" x14ac:dyDescent="0.3">
      <c r="Y326" s="33"/>
    </row>
    <row r="327" spans="25:25" ht="20.100000000000001" customHeight="1" x14ac:dyDescent="0.3">
      <c r="Y327" s="33"/>
    </row>
    <row r="328" spans="25:25" ht="20.100000000000001" customHeight="1" x14ac:dyDescent="0.3">
      <c r="Y328" s="33"/>
    </row>
    <row r="329" spans="25:25" ht="20.100000000000001" customHeight="1" x14ac:dyDescent="0.3">
      <c r="Y329" s="33"/>
    </row>
    <row r="330" spans="25:25" ht="20.100000000000001" customHeight="1" x14ac:dyDescent="0.3">
      <c r="Y330" s="33"/>
    </row>
    <row r="331" spans="25:25" ht="20.100000000000001" customHeight="1" x14ac:dyDescent="0.3">
      <c r="Y331" s="33"/>
    </row>
    <row r="332" spans="25:25" ht="20.100000000000001" customHeight="1" x14ac:dyDescent="0.3">
      <c r="Y332" s="33"/>
    </row>
    <row r="333" spans="25:25" ht="20.100000000000001" customHeight="1" x14ac:dyDescent="0.3">
      <c r="Y333" s="33"/>
    </row>
    <row r="334" spans="25:25" ht="20.100000000000001" customHeight="1" x14ac:dyDescent="0.3">
      <c r="Y334" s="33"/>
    </row>
    <row r="335" spans="25:25" ht="20.100000000000001" customHeight="1" x14ac:dyDescent="0.3">
      <c r="Y335" s="33"/>
    </row>
    <row r="336" spans="25:25" ht="20.100000000000001" customHeight="1" x14ac:dyDescent="0.3">
      <c r="Y336" s="33"/>
    </row>
    <row r="337" spans="25:25" ht="20.100000000000001" customHeight="1" x14ac:dyDescent="0.3">
      <c r="Y337" s="33"/>
    </row>
    <row r="338" spans="25:25" ht="20.100000000000001" customHeight="1" x14ac:dyDescent="0.3">
      <c r="Y338" s="33"/>
    </row>
    <row r="339" spans="25:25" ht="20.100000000000001" customHeight="1" x14ac:dyDescent="0.3">
      <c r="Y339" s="33"/>
    </row>
    <row r="340" spans="25:25" ht="20.100000000000001" customHeight="1" x14ac:dyDescent="0.3">
      <c r="Y340" s="33"/>
    </row>
    <row r="341" spans="25:25" ht="20.100000000000001" customHeight="1" x14ac:dyDescent="0.3">
      <c r="Y341" s="33"/>
    </row>
    <row r="342" spans="25:25" ht="20.100000000000001" customHeight="1" x14ac:dyDescent="0.3">
      <c r="Y342" s="33"/>
    </row>
    <row r="343" spans="25:25" ht="20.100000000000001" customHeight="1" x14ac:dyDescent="0.3">
      <c r="Y343" s="33"/>
    </row>
    <row r="344" spans="25:25" ht="20.100000000000001" customHeight="1" x14ac:dyDescent="0.3">
      <c r="Y344" s="33"/>
    </row>
    <row r="345" spans="25:25" ht="20.100000000000001" customHeight="1" x14ac:dyDescent="0.3">
      <c r="Y345" s="33"/>
    </row>
    <row r="346" spans="25:25" ht="20.100000000000001" customHeight="1" x14ac:dyDescent="0.3">
      <c r="Y346" s="33"/>
    </row>
    <row r="347" spans="25:25" ht="20.100000000000001" customHeight="1" x14ac:dyDescent="0.3">
      <c r="Y347" s="33"/>
    </row>
    <row r="348" spans="25:25" ht="20.100000000000001" customHeight="1" x14ac:dyDescent="0.3">
      <c r="Y348" s="33"/>
    </row>
    <row r="349" spans="25:25" ht="20.100000000000001" customHeight="1" x14ac:dyDescent="0.3">
      <c r="Y349" s="33"/>
    </row>
    <row r="350" spans="25:25" ht="20.100000000000001" customHeight="1" x14ac:dyDescent="0.3">
      <c r="Y350" s="33"/>
    </row>
    <row r="351" spans="25:25" ht="20.100000000000001" customHeight="1" x14ac:dyDescent="0.3">
      <c r="Y351" s="33"/>
    </row>
    <row r="352" spans="25:25" ht="20.100000000000001" customHeight="1" x14ac:dyDescent="0.3">
      <c r="Y352" s="33"/>
    </row>
    <row r="353" spans="25:25" ht="20.100000000000001" customHeight="1" x14ac:dyDescent="0.3">
      <c r="Y353" s="33"/>
    </row>
    <row r="354" spans="25:25" ht="20.100000000000001" customHeight="1" x14ac:dyDescent="0.3">
      <c r="Y354" s="33"/>
    </row>
    <row r="355" spans="25:25" ht="20.100000000000001" customHeight="1" x14ac:dyDescent="0.3">
      <c r="Y355" s="33"/>
    </row>
    <row r="356" spans="25:25" ht="20.100000000000001" customHeight="1" x14ac:dyDescent="0.3">
      <c r="Y356" s="33"/>
    </row>
    <row r="357" spans="25:25" ht="20.100000000000001" customHeight="1" x14ac:dyDescent="0.3">
      <c r="Y357" s="33"/>
    </row>
    <row r="358" spans="25:25" ht="20.100000000000001" customHeight="1" x14ac:dyDescent="0.3">
      <c r="Y358" s="33"/>
    </row>
    <row r="359" spans="25:25" ht="20.100000000000001" customHeight="1" x14ac:dyDescent="0.3">
      <c r="Y359" s="33"/>
    </row>
    <row r="360" spans="25:25" ht="20.100000000000001" customHeight="1" x14ac:dyDescent="0.3">
      <c r="Y360" s="33"/>
    </row>
    <row r="361" spans="25:25" ht="20.100000000000001" customHeight="1" x14ac:dyDescent="0.3">
      <c r="Y361" s="33"/>
    </row>
    <row r="362" spans="25:25" ht="20.100000000000001" customHeight="1" x14ac:dyDescent="0.3">
      <c r="Y362" s="33"/>
    </row>
    <row r="363" spans="25:25" ht="20.100000000000001" customHeight="1" x14ac:dyDescent="0.3">
      <c r="Y363" s="33"/>
    </row>
    <row r="364" spans="25:25" ht="20.100000000000001" customHeight="1" x14ac:dyDescent="0.3">
      <c r="Y364" s="33"/>
    </row>
    <row r="365" spans="25:25" ht="20.100000000000001" customHeight="1" x14ac:dyDescent="0.3">
      <c r="Y365" s="33"/>
    </row>
    <row r="366" spans="25:25" ht="20.100000000000001" customHeight="1" x14ac:dyDescent="0.3">
      <c r="Y366" s="33"/>
    </row>
    <row r="367" spans="25:25" ht="20.100000000000001" customHeight="1" x14ac:dyDescent="0.3">
      <c r="Y367" s="33"/>
    </row>
    <row r="368" spans="25:25" ht="20.100000000000001" customHeight="1" x14ac:dyDescent="0.3">
      <c r="Y368" s="33"/>
    </row>
    <row r="369" spans="25:25" ht="20.100000000000001" customHeight="1" x14ac:dyDescent="0.3">
      <c r="Y369" s="33"/>
    </row>
    <row r="370" spans="25:25" ht="20.100000000000001" customHeight="1" x14ac:dyDescent="0.3">
      <c r="Y370" s="33"/>
    </row>
    <row r="371" spans="25:25" ht="20.100000000000001" customHeight="1" x14ac:dyDescent="0.3">
      <c r="Y371" s="33"/>
    </row>
    <row r="372" spans="25:25" ht="20.100000000000001" customHeight="1" x14ac:dyDescent="0.3">
      <c r="Y372" s="33"/>
    </row>
    <row r="373" spans="25:25" ht="20.100000000000001" customHeight="1" x14ac:dyDescent="0.3">
      <c r="Y373" s="33"/>
    </row>
    <row r="374" spans="25:25" ht="20.100000000000001" customHeight="1" x14ac:dyDescent="0.3">
      <c r="Y374" s="33"/>
    </row>
    <row r="375" spans="25:25" ht="20.100000000000001" customHeight="1" x14ac:dyDescent="0.3">
      <c r="Y375" s="33"/>
    </row>
    <row r="376" spans="25:25" ht="20.100000000000001" customHeight="1" x14ac:dyDescent="0.3">
      <c r="Y376" s="33"/>
    </row>
    <row r="377" spans="25:25" ht="20.100000000000001" customHeight="1" x14ac:dyDescent="0.3">
      <c r="Y377" s="33"/>
    </row>
    <row r="378" spans="25:25" ht="20.100000000000001" customHeight="1" x14ac:dyDescent="0.3">
      <c r="Y378" s="33"/>
    </row>
    <row r="379" spans="25:25" ht="20.100000000000001" customHeight="1" x14ac:dyDescent="0.3">
      <c r="Y379" s="33"/>
    </row>
    <row r="380" spans="25:25" ht="20.100000000000001" customHeight="1" x14ac:dyDescent="0.3">
      <c r="Y380" s="33"/>
    </row>
    <row r="381" spans="25:25" ht="20.100000000000001" customHeight="1" x14ac:dyDescent="0.3">
      <c r="Y381" s="33"/>
    </row>
    <row r="382" spans="25:25" ht="20.100000000000001" customHeight="1" x14ac:dyDescent="0.3">
      <c r="Y382" s="33"/>
    </row>
    <row r="383" spans="25:25" ht="20.100000000000001" customHeight="1" x14ac:dyDescent="0.3">
      <c r="Y383" s="33"/>
    </row>
    <row r="384" spans="25:25" ht="20.100000000000001" customHeight="1" x14ac:dyDescent="0.3">
      <c r="Y384" s="33"/>
    </row>
    <row r="385" spans="25:25" ht="20.100000000000001" customHeight="1" x14ac:dyDescent="0.3">
      <c r="Y385" s="33"/>
    </row>
    <row r="386" spans="25:25" ht="20.100000000000001" customHeight="1" x14ac:dyDescent="0.3">
      <c r="Y386" s="33"/>
    </row>
    <row r="387" spans="25:25" ht="20.100000000000001" customHeight="1" x14ac:dyDescent="0.3">
      <c r="Y387" s="33"/>
    </row>
    <row r="388" spans="25:25" ht="20.100000000000001" customHeight="1" x14ac:dyDescent="0.3">
      <c r="Y388" s="33"/>
    </row>
    <row r="389" spans="25:25" ht="20.100000000000001" customHeight="1" x14ac:dyDescent="0.3">
      <c r="Y389" s="33"/>
    </row>
    <row r="390" spans="25:25" ht="20.100000000000001" customHeight="1" x14ac:dyDescent="0.3">
      <c r="Y390" s="33"/>
    </row>
    <row r="391" spans="25:25" ht="20.100000000000001" customHeight="1" x14ac:dyDescent="0.3">
      <c r="Y391" s="33"/>
    </row>
    <row r="392" spans="25:25" ht="20.100000000000001" customHeight="1" x14ac:dyDescent="0.3">
      <c r="Y392" s="33"/>
    </row>
    <row r="393" spans="25:25" ht="20.100000000000001" customHeight="1" x14ac:dyDescent="0.3">
      <c r="Y393" s="33"/>
    </row>
    <row r="394" spans="25:25" ht="20.100000000000001" customHeight="1" x14ac:dyDescent="0.3">
      <c r="Y394" s="33"/>
    </row>
    <row r="395" spans="25:25" ht="20.100000000000001" customHeight="1" x14ac:dyDescent="0.3">
      <c r="Y395" s="33"/>
    </row>
    <row r="396" spans="25:25" ht="20.100000000000001" customHeight="1" x14ac:dyDescent="0.3">
      <c r="Y396" s="33"/>
    </row>
    <row r="397" spans="25:25" ht="20.100000000000001" customHeight="1" x14ac:dyDescent="0.3">
      <c r="Y397" s="33"/>
    </row>
    <row r="398" spans="25:25" ht="20.100000000000001" customHeight="1" x14ac:dyDescent="0.3">
      <c r="Y398" s="33"/>
    </row>
    <row r="399" spans="25:25" ht="20.100000000000001" customHeight="1" x14ac:dyDescent="0.3">
      <c r="Y399" s="33"/>
    </row>
    <row r="400" spans="25:25" ht="20.100000000000001" customHeight="1" x14ac:dyDescent="0.3">
      <c r="Y400" s="33"/>
    </row>
    <row r="401" spans="25:25" ht="20.100000000000001" customHeight="1" x14ac:dyDescent="0.3">
      <c r="Y401" s="33"/>
    </row>
    <row r="402" spans="25:25" ht="20.100000000000001" customHeight="1" x14ac:dyDescent="0.3">
      <c r="Y402" s="33"/>
    </row>
    <row r="403" spans="25:25" ht="20.100000000000001" customHeight="1" x14ac:dyDescent="0.3">
      <c r="Y403" s="33"/>
    </row>
    <row r="404" spans="25:25" ht="20.100000000000001" customHeight="1" x14ac:dyDescent="0.3">
      <c r="Y404" s="33"/>
    </row>
    <row r="405" spans="25:25" ht="20.100000000000001" customHeight="1" x14ac:dyDescent="0.3">
      <c r="Y405" s="33"/>
    </row>
    <row r="406" spans="25:25" ht="20.100000000000001" customHeight="1" x14ac:dyDescent="0.3">
      <c r="Y406" s="33"/>
    </row>
    <row r="407" spans="25:25" ht="20.100000000000001" customHeight="1" x14ac:dyDescent="0.3">
      <c r="Y407" s="33"/>
    </row>
    <row r="408" spans="25:25" ht="20.100000000000001" customHeight="1" x14ac:dyDescent="0.3">
      <c r="Y408" s="33"/>
    </row>
    <row r="409" spans="25:25" ht="20.100000000000001" customHeight="1" x14ac:dyDescent="0.3">
      <c r="Y409" s="33"/>
    </row>
    <row r="410" spans="25:25" ht="20.100000000000001" customHeight="1" x14ac:dyDescent="0.3">
      <c r="Y410" s="33"/>
    </row>
    <row r="411" spans="25:25" ht="20.100000000000001" customHeight="1" x14ac:dyDescent="0.3">
      <c r="Y411" s="33"/>
    </row>
    <row r="412" spans="25:25" ht="20.100000000000001" customHeight="1" x14ac:dyDescent="0.3">
      <c r="Y412" s="33"/>
    </row>
    <row r="413" spans="25:25" ht="20.100000000000001" customHeight="1" x14ac:dyDescent="0.3">
      <c r="Y413" s="33"/>
    </row>
    <row r="414" spans="25:25" ht="20.100000000000001" customHeight="1" x14ac:dyDescent="0.3">
      <c r="Y414" s="33"/>
    </row>
    <row r="415" spans="25:25" ht="20.100000000000001" customHeight="1" x14ac:dyDescent="0.3">
      <c r="Y415" s="33"/>
    </row>
    <row r="416" spans="25:25" ht="20.100000000000001" customHeight="1" x14ac:dyDescent="0.3">
      <c r="Y416" s="33"/>
    </row>
    <row r="417" spans="25:25" ht="20.100000000000001" customHeight="1" x14ac:dyDescent="0.3">
      <c r="Y417" s="33"/>
    </row>
    <row r="418" spans="25:25" ht="20.100000000000001" customHeight="1" x14ac:dyDescent="0.3">
      <c r="Y418" s="33"/>
    </row>
    <row r="419" spans="25:25" ht="20.100000000000001" customHeight="1" x14ac:dyDescent="0.3">
      <c r="Y419" s="33"/>
    </row>
    <row r="420" spans="25:25" ht="20.100000000000001" customHeight="1" x14ac:dyDescent="0.3">
      <c r="Y420" s="33"/>
    </row>
    <row r="421" spans="25:25" ht="20.100000000000001" customHeight="1" x14ac:dyDescent="0.3">
      <c r="Y421" s="33"/>
    </row>
    <row r="422" spans="25:25" ht="20.100000000000001" customHeight="1" x14ac:dyDescent="0.3">
      <c r="Y422" s="33"/>
    </row>
    <row r="423" spans="25:25" ht="20.100000000000001" customHeight="1" x14ac:dyDescent="0.3">
      <c r="Y423" s="33"/>
    </row>
    <row r="424" spans="25:25" ht="20.100000000000001" customHeight="1" x14ac:dyDescent="0.3">
      <c r="Y424" s="33"/>
    </row>
    <row r="425" spans="25:25" ht="20.100000000000001" customHeight="1" x14ac:dyDescent="0.3">
      <c r="Y425" s="33"/>
    </row>
    <row r="426" spans="25:25" ht="20.100000000000001" customHeight="1" x14ac:dyDescent="0.3">
      <c r="Y426" s="33"/>
    </row>
    <row r="427" spans="25:25" ht="20.100000000000001" customHeight="1" x14ac:dyDescent="0.3">
      <c r="Y427" s="33"/>
    </row>
    <row r="428" spans="25:25" ht="20.100000000000001" customHeight="1" x14ac:dyDescent="0.3">
      <c r="Y428" s="33"/>
    </row>
    <row r="429" spans="25:25" ht="20.100000000000001" customHeight="1" x14ac:dyDescent="0.3">
      <c r="Y429" s="33"/>
    </row>
    <row r="430" spans="25:25" ht="20.100000000000001" customHeight="1" x14ac:dyDescent="0.3">
      <c r="Y430" s="33"/>
    </row>
    <row r="431" spans="25:25" ht="20.100000000000001" customHeight="1" x14ac:dyDescent="0.3">
      <c r="Y431" s="33"/>
    </row>
    <row r="432" spans="25:25" ht="20.100000000000001" customHeight="1" x14ac:dyDescent="0.3">
      <c r="Y432" s="33"/>
    </row>
    <row r="433" spans="25:25" ht="20.100000000000001" customHeight="1" x14ac:dyDescent="0.3">
      <c r="Y433" s="33"/>
    </row>
    <row r="434" spans="25:25" ht="20.100000000000001" customHeight="1" x14ac:dyDescent="0.3">
      <c r="Y434" s="33"/>
    </row>
    <row r="435" spans="25:25" ht="20.100000000000001" customHeight="1" x14ac:dyDescent="0.3">
      <c r="Y435" s="33"/>
    </row>
    <row r="436" spans="25:25" ht="20.100000000000001" customHeight="1" x14ac:dyDescent="0.3">
      <c r="Y436" s="33"/>
    </row>
    <row r="437" spans="25:25" ht="20.100000000000001" customHeight="1" x14ac:dyDescent="0.3">
      <c r="Y437" s="33"/>
    </row>
    <row r="438" spans="25:25" ht="20.100000000000001" customHeight="1" x14ac:dyDescent="0.3">
      <c r="Y438" s="33"/>
    </row>
    <row r="439" spans="25:25" ht="20.100000000000001" customHeight="1" x14ac:dyDescent="0.3">
      <c r="Y439" s="33"/>
    </row>
    <row r="440" spans="25:25" ht="20.100000000000001" customHeight="1" x14ac:dyDescent="0.3">
      <c r="Y440" s="33"/>
    </row>
    <row r="441" spans="25:25" ht="20.100000000000001" customHeight="1" x14ac:dyDescent="0.3">
      <c r="Y441" s="33"/>
    </row>
    <row r="442" spans="25:25" ht="20.100000000000001" customHeight="1" x14ac:dyDescent="0.3">
      <c r="Y442" s="33"/>
    </row>
    <row r="443" spans="25:25" ht="20.100000000000001" customHeight="1" x14ac:dyDescent="0.3">
      <c r="Y443" s="33"/>
    </row>
    <row r="444" spans="25:25" ht="20.100000000000001" customHeight="1" x14ac:dyDescent="0.3">
      <c r="Y444" s="33"/>
    </row>
    <row r="445" spans="25:25" ht="20.100000000000001" customHeight="1" x14ac:dyDescent="0.3">
      <c r="Y445" s="33"/>
    </row>
    <row r="446" spans="25:25" ht="20.100000000000001" customHeight="1" x14ac:dyDescent="0.3">
      <c r="Y446" s="33"/>
    </row>
    <row r="447" spans="25:25" ht="20.100000000000001" customHeight="1" x14ac:dyDescent="0.3">
      <c r="Y447" s="33"/>
    </row>
    <row r="448" spans="25:25" ht="20.100000000000001" customHeight="1" x14ac:dyDescent="0.3">
      <c r="Y448" s="33"/>
    </row>
    <row r="449" spans="25:25" ht="20.100000000000001" customHeight="1" x14ac:dyDescent="0.3">
      <c r="Y449" s="33"/>
    </row>
    <row r="450" spans="25:25" ht="20.100000000000001" customHeight="1" x14ac:dyDescent="0.3">
      <c r="Y450" s="33"/>
    </row>
    <row r="451" spans="25:25" ht="20.100000000000001" customHeight="1" x14ac:dyDescent="0.3">
      <c r="Y451" s="33"/>
    </row>
    <row r="452" spans="25:25" ht="20.100000000000001" customHeight="1" x14ac:dyDescent="0.3">
      <c r="Y452" s="33"/>
    </row>
    <row r="453" spans="25:25" ht="20.100000000000001" customHeight="1" x14ac:dyDescent="0.3">
      <c r="Y453" s="33"/>
    </row>
    <row r="454" spans="25:25" ht="20.100000000000001" customHeight="1" x14ac:dyDescent="0.3">
      <c r="Y454" s="33"/>
    </row>
    <row r="455" spans="25:25" ht="20.100000000000001" customHeight="1" x14ac:dyDescent="0.3">
      <c r="Y455" s="33"/>
    </row>
    <row r="456" spans="25:25" ht="20.100000000000001" customHeight="1" x14ac:dyDescent="0.3">
      <c r="Y456" s="33"/>
    </row>
    <row r="457" spans="25:25" ht="20.100000000000001" customHeight="1" x14ac:dyDescent="0.3">
      <c r="Y457" s="33"/>
    </row>
    <row r="458" spans="25:25" ht="20.100000000000001" customHeight="1" x14ac:dyDescent="0.3">
      <c r="Y458" s="33"/>
    </row>
    <row r="459" spans="25:25" ht="20.100000000000001" customHeight="1" x14ac:dyDescent="0.3">
      <c r="Y459" s="33"/>
    </row>
    <row r="460" spans="25:25" ht="20.100000000000001" customHeight="1" x14ac:dyDescent="0.3">
      <c r="Y460" s="33"/>
    </row>
    <row r="461" spans="25:25" ht="20.100000000000001" customHeight="1" x14ac:dyDescent="0.3">
      <c r="Y461" s="33"/>
    </row>
    <row r="462" spans="25:25" ht="20.100000000000001" customHeight="1" x14ac:dyDescent="0.3">
      <c r="Y462" s="33"/>
    </row>
    <row r="463" spans="25:25" ht="20.100000000000001" customHeight="1" x14ac:dyDescent="0.3">
      <c r="Y463" s="33"/>
    </row>
    <row r="464" spans="25:25" ht="20.100000000000001" customHeight="1" x14ac:dyDescent="0.3">
      <c r="Y464" s="33"/>
    </row>
    <row r="465" spans="25:25" ht="20.100000000000001" customHeight="1" x14ac:dyDescent="0.3">
      <c r="Y465" s="33"/>
    </row>
    <row r="466" spans="25:25" ht="20.100000000000001" customHeight="1" x14ac:dyDescent="0.3">
      <c r="Y466" s="33"/>
    </row>
    <row r="467" spans="25:25" ht="20.100000000000001" customHeight="1" x14ac:dyDescent="0.3">
      <c r="Y467" s="33"/>
    </row>
    <row r="468" spans="25:25" ht="20.100000000000001" customHeight="1" x14ac:dyDescent="0.3">
      <c r="Y468" s="33"/>
    </row>
    <row r="469" spans="25:25" ht="20.100000000000001" customHeight="1" x14ac:dyDescent="0.3">
      <c r="Y469" s="33"/>
    </row>
    <row r="470" spans="25:25" ht="20.100000000000001" customHeight="1" x14ac:dyDescent="0.3">
      <c r="Y470" s="33"/>
    </row>
    <row r="471" spans="25:25" ht="20.100000000000001" customHeight="1" x14ac:dyDescent="0.3">
      <c r="Y471" s="33"/>
    </row>
    <row r="472" spans="25:25" ht="20.100000000000001" customHeight="1" x14ac:dyDescent="0.3">
      <c r="Y472" s="33"/>
    </row>
    <row r="473" spans="25:25" ht="20.100000000000001" customHeight="1" x14ac:dyDescent="0.3">
      <c r="Y473" s="33"/>
    </row>
    <row r="474" spans="25:25" ht="20.100000000000001" customHeight="1" x14ac:dyDescent="0.3">
      <c r="Y474" s="33"/>
    </row>
    <row r="475" spans="25:25" ht="20.100000000000001" customHeight="1" x14ac:dyDescent="0.3">
      <c r="Y475" s="33"/>
    </row>
    <row r="476" spans="25:25" ht="20.100000000000001" customHeight="1" x14ac:dyDescent="0.3">
      <c r="Y476" s="33"/>
    </row>
    <row r="477" spans="25:25" ht="20.100000000000001" customHeight="1" x14ac:dyDescent="0.3">
      <c r="Y477" s="33"/>
    </row>
    <row r="478" spans="25:25" ht="20.100000000000001" customHeight="1" x14ac:dyDescent="0.3">
      <c r="Y478" s="33"/>
    </row>
    <row r="479" spans="25:25" ht="20.100000000000001" customHeight="1" x14ac:dyDescent="0.3">
      <c r="Y479" s="33"/>
    </row>
    <row r="480" spans="25:25" ht="20.100000000000001" customHeight="1" x14ac:dyDescent="0.3">
      <c r="Y480" s="33"/>
    </row>
    <row r="481" spans="25:25" ht="20.100000000000001" customHeight="1" x14ac:dyDescent="0.3">
      <c r="Y481" s="33"/>
    </row>
    <row r="482" spans="25:25" ht="20.100000000000001" customHeight="1" x14ac:dyDescent="0.3">
      <c r="Y482" s="33"/>
    </row>
    <row r="483" spans="25:25" ht="20.100000000000001" customHeight="1" x14ac:dyDescent="0.3">
      <c r="Y483" s="33"/>
    </row>
    <row r="484" spans="25:25" ht="20.100000000000001" customHeight="1" x14ac:dyDescent="0.3">
      <c r="Y484" s="33"/>
    </row>
    <row r="485" spans="25:25" ht="20.100000000000001" customHeight="1" x14ac:dyDescent="0.3">
      <c r="Y485" s="33"/>
    </row>
    <row r="486" spans="25:25" ht="20.100000000000001" customHeight="1" x14ac:dyDescent="0.3">
      <c r="Y486" s="33"/>
    </row>
    <row r="487" spans="25:25" ht="20.100000000000001" customHeight="1" x14ac:dyDescent="0.3">
      <c r="Y487" s="33"/>
    </row>
    <row r="488" spans="25:25" ht="20.100000000000001" customHeight="1" x14ac:dyDescent="0.3">
      <c r="Y488" s="33"/>
    </row>
    <row r="489" spans="25:25" ht="20.100000000000001" customHeight="1" x14ac:dyDescent="0.3">
      <c r="Y489" s="33"/>
    </row>
    <row r="490" spans="25:25" ht="20.100000000000001" customHeight="1" x14ac:dyDescent="0.3">
      <c r="Y490" s="33"/>
    </row>
    <row r="491" spans="25:25" ht="20.100000000000001" customHeight="1" x14ac:dyDescent="0.3">
      <c r="Y491" s="33"/>
    </row>
    <row r="492" spans="25:25" ht="20.100000000000001" customHeight="1" x14ac:dyDescent="0.3">
      <c r="Y492" s="33"/>
    </row>
    <row r="493" spans="25:25" ht="20.100000000000001" customHeight="1" x14ac:dyDescent="0.3">
      <c r="Y493" s="33"/>
    </row>
    <row r="494" spans="25:25" ht="20.100000000000001" customHeight="1" x14ac:dyDescent="0.3">
      <c r="Y494" s="33"/>
    </row>
    <row r="495" spans="25:25" ht="20.100000000000001" customHeight="1" x14ac:dyDescent="0.3">
      <c r="Y495" s="33"/>
    </row>
    <row r="496" spans="25:25" ht="20.100000000000001" customHeight="1" x14ac:dyDescent="0.3">
      <c r="Y496" s="33"/>
    </row>
    <row r="497" spans="25:25" ht="20.100000000000001" customHeight="1" x14ac:dyDescent="0.3">
      <c r="Y497" s="33"/>
    </row>
    <row r="498" spans="25:25" ht="20.100000000000001" customHeight="1" x14ac:dyDescent="0.3">
      <c r="Y498" s="33"/>
    </row>
    <row r="499" spans="25:25" ht="20.100000000000001" customHeight="1" x14ac:dyDescent="0.3">
      <c r="Y499" s="33"/>
    </row>
    <row r="500" spans="25:25" ht="20.100000000000001" customHeight="1" x14ac:dyDescent="0.3">
      <c r="Y500" s="33"/>
    </row>
    <row r="501" spans="25:25" ht="20.100000000000001" customHeight="1" x14ac:dyDescent="0.3">
      <c r="Y501" s="33"/>
    </row>
    <row r="502" spans="25:25" ht="20.100000000000001" customHeight="1" x14ac:dyDescent="0.3">
      <c r="Y502" s="33"/>
    </row>
    <row r="503" spans="25:25" ht="20.100000000000001" customHeight="1" x14ac:dyDescent="0.3">
      <c r="Y503" s="33"/>
    </row>
    <row r="504" spans="25:25" ht="20.100000000000001" customHeight="1" x14ac:dyDescent="0.3">
      <c r="Y504" s="33"/>
    </row>
    <row r="505" spans="25:25" ht="20.100000000000001" customHeight="1" x14ac:dyDescent="0.3">
      <c r="Y505" s="33"/>
    </row>
    <row r="506" spans="25:25" ht="20.100000000000001" customHeight="1" x14ac:dyDescent="0.3">
      <c r="Y506" s="33"/>
    </row>
    <row r="507" spans="25:25" ht="20.100000000000001" customHeight="1" x14ac:dyDescent="0.3">
      <c r="Y507" s="33"/>
    </row>
    <row r="508" spans="25:25" ht="20.100000000000001" customHeight="1" x14ac:dyDescent="0.3">
      <c r="Y508" s="33"/>
    </row>
    <row r="509" spans="25:25" ht="20.100000000000001" customHeight="1" x14ac:dyDescent="0.3">
      <c r="Y509" s="33"/>
    </row>
    <row r="510" spans="25:25" ht="20.100000000000001" customHeight="1" x14ac:dyDescent="0.3">
      <c r="Y510" s="33"/>
    </row>
    <row r="511" spans="25:25" ht="20.100000000000001" customHeight="1" x14ac:dyDescent="0.3">
      <c r="Y511" s="33"/>
    </row>
    <row r="512" spans="25:25" ht="20.100000000000001" customHeight="1" x14ac:dyDescent="0.3">
      <c r="Y512" s="33"/>
    </row>
    <row r="513" spans="25:25" ht="20.100000000000001" customHeight="1" x14ac:dyDescent="0.3">
      <c r="Y513" s="33"/>
    </row>
    <row r="514" spans="25:25" ht="20.100000000000001" customHeight="1" x14ac:dyDescent="0.3">
      <c r="Y514" s="33"/>
    </row>
    <row r="515" spans="25:25" ht="20.100000000000001" customHeight="1" x14ac:dyDescent="0.3">
      <c r="Y515" s="33"/>
    </row>
    <row r="516" spans="25:25" ht="20.100000000000001" customHeight="1" x14ac:dyDescent="0.3">
      <c r="Y516" s="33"/>
    </row>
    <row r="517" spans="25:25" ht="20.100000000000001" customHeight="1" x14ac:dyDescent="0.3">
      <c r="Y517" s="33"/>
    </row>
    <row r="518" spans="25:25" ht="20.100000000000001" customHeight="1" x14ac:dyDescent="0.3">
      <c r="Y518" s="33"/>
    </row>
    <row r="519" spans="25:25" ht="20.100000000000001" customHeight="1" x14ac:dyDescent="0.3">
      <c r="Y519" s="33"/>
    </row>
    <row r="520" spans="25:25" ht="20.100000000000001" customHeight="1" x14ac:dyDescent="0.3">
      <c r="Y520" s="33"/>
    </row>
    <row r="521" spans="25:25" ht="20.100000000000001" customHeight="1" x14ac:dyDescent="0.3">
      <c r="Y521" s="33"/>
    </row>
    <row r="522" spans="25:25" ht="20.100000000000001" customHeight="1" x14ac:dyDescent="0.3">
      <c r="Y522" s="33"/>
    </row>
    <row r="523" spans="25:25" ht="20.100000000000001" customHeight="1" x14ac:dyDescent="0.3">
      <c r="Y523" s="33"/>
    </row>
    <row r="524" spans="25:25" ht="20.100000000000001" customHeight="1" x14ac:dyDescent="0.3">
      <c r="Y524" s="33"/>
    </row>
    <row r="525" spans="25:25" ht="20.100000000000001" customHeight="1" x14ac:dyDescent="0.3">
      <c r="Y525" s="33"/>
    </row>
    <row r="526" spans="25:25" ht="20.100000000000001" customHeight="1" x14ac:dyDescent="0.3">
      <c r="Y526" s="33"/>
    </row>
    <row r="527" spans="25:25" ht="20.100000000000001" customHeight="1" x14ac:dyDescent="0.3">
      <c r="Y527" s="33"/>
    </row>
    <row r="528" spans="25:25" ht="20.100000000000001" customHeight="1" x14ac:dyDescent="0.3">
      <c r="Y528" s="33"/>
    </row>
    <row r="529" spans="25:25" ht="20.100000000000001" customHeight="1" x14ac:dyDescent="0.3">
      <c r="Y529" s="33"/>
    </row>
    <row r="530" spans="25:25" ht="20.100000000000001" customHeight="1" x14ac:dyDescent="0.3">
      <c r="Y530" s="33"/>
    </row>
    <row r="531" spans="25:25" ht="20.100000000000001" customHeight="1" x14ac:dyDescent="0.3">
      <c r="Y531" s="33"/>
    </row>
    <row r="532" spans="25:25" ht="20.100000000000001" customHeight="1" x14ac:dyDescent="0.3">
      <c r="Y532" s="33"/>
    </row>
    <row r="533" spans="25:25" ht="20.100000000000001" customHeight="1" x14ac:dyDescent="0.3">
      <c r="Y533" s="33"/>
    </row>
    <row r="534" spans="25:25" ht="20.100000000000001" customHeight="1" x14ac:dyDescent="0.3">
      <c r="Y534" s="33"/>
    </row>
    <row r="535" spans="25:25" ht="20.100000000000001" customHeight="1" x14ac:dyDescent="0.3">
      <c r="Y535" s="33"/>
    </row>
    <row r="536" spans="25:25" ht="20.100000000000001" customHeight="1" x14ac:dyDescent="0.3">
      <c r="Y536" s="33"/>
    </row>
    <row r="537" spans="25:25" ht="20.100000000000001" customHeight="1" x14ac:dyDescent="0.3">
      <c r="Y537" s="33"/>
    </row>
    <row r="538" spans="25:25" ht="20.100000000000001" customHeight="1" x14ac:dyDescent="0.3">
      <c r="Y538" s="33"/>
    </row>
    <row r="539" spans="25:25" ht="20.100000000000001" customHeight="1" x14ac:dyDescent="0.3">
      <c r="Y539" s="33"/>
    </row>
    <row r="540" spans="25:25" ht="20.100000000000001" customHeight="1" x14ac:dyDescent="0.3">
      <c r="Y540" s="33"/>
    </row>
    <row r="541" spans="25:25" ht="20.100000000000001" customHeight="1" x14ac:dyDescent="0.3">
      <c r="Y541" s="33"/>
    </row>
    <row r="542" spans="25:25" ht="20.100000000000001" customHeight="1" x14ac:dyDescent="0.3">
      <c r="Y542" s="33"/>
    </row>
    <row r="543" spans="25:25" ht="20.100000000000001" customHeight="1" x14ac:dyDescent="0.3">
      <c r="Y543" s="33"/>
    </row>
    <row r="544" spans="25:25" ht="20.100000000000001" customHeight="1" x14ac:dyDescent="0.3">
      <c r="Y544" s="33"/>
    </row>
    <row r="545" spans="25:25" ht="20.100000000000001" customHeight="1" x14ac:dyDescent="0.3">
      <c r="Y545" s="33"/>
    </row>
    <row r="546" spans="25:25" ht="20.100000000000001" customHeight="1" x14ac:dyDescent="0.3">
      <c r="Y546" s="33"/>
    </row>
    <row r="547" spans="25:25" ht="20.100000000000001" customHeight="1" x14ac:dyDescent="0.3">
      <c r="Y547" s="33"/>
    </row>
    <row r="548" spans="25:25" ht="20.100000000000001" customHeight="1" x14ac:dyDescent="0.3">
      <c r="Y548" s="33"/>
    </row>
    <row r="549" spans="25:25" ht="20.100000000000001" customHeight="1" x14ac:dyDescent="0.3">
      <c r="Y549" s="33"/>
    </row>
    <row r="550" spans="25:25" ht="20.100000000000001" customHeight="1" x14ac:dyDescent="0.3">
      <c r="Y550" s="33"/>
    </row>
    <row r="551" spans="25:25" ht="20.100000000000001" customHeight="1" x14ac:dyDescent="0.3">
      <c r="Y551" s="33"/>
    </row>
    <row r="552" spans="25:25" ht="20.100000000000001" customHeight="1" x14ac:dyDescent="0.3">
      <c r="Y552" s="33"/>
    </row>
    <row r="553" spans="25:25" ht="20.100000000000001" customHeight="1" x14ac:dyDescent="0.3">
      <c r="Y553" s="33"/>
    </row>
    <row r="554" spans="25:25" ht="20.100000000000001" customHeight="1" x14ac:dyDescent="0.3">
      <c r="Y554" s="33"/>
    </row>
    <row r="555" spans="25:25" ht="20.100000000000001" customHeight="1" x14ac:dyDescent="0.3">
      <c r="Y555" s="33"/>
    </row>
    <row r="556" spans="25:25" ht="20.100000000000001" customHeight="1" x14ac:dyDescent="0.3">
      <c r="Y556" s="33"/>
    </row>
    <row r="557" spans="25:25" ht="20.100000000000001" customHeight="1" x14ac:dyDescent="0.3">
      <c r="Y557" s="33"/>
    </row>
    <row r="558" spans="25:25" ht="20.100000000000001" customHeight="1" x14ac:dyDescent="0.3">
      <c r="Y558" s="33"/>
    </row>
    <row r="559" spans="25:25" ht="20.100000000000001" customHeight="1" x14ac:dyDescent="0.3">
      <c r="Y559" s="33"/>
    </row>
    <row r="560" spans="25:25" ht="20.100000000000001" customHeight="1" x14ac:dyDescent="0.3">
      <c r="Y560" s="33"/>
    </row>
    <row r="561" spans="25:25" ht="20.100000000000001" customHeight="1" x14ac:dyDescent="0.3">
      <c r="Y561" s="33"/>
    </row>
    <row r="562" spans="25:25" ht="20.100000000000001" customHeight="1" x14ac:dyDescent="0.3">
      <c r="Y562" s="33"/>
    </row>
    <row r="563" spans="25:25" ht="20.100000000000001" customHeight="1" x14ac:dyDescent="0.3">
      <c r="Y563" s="33"/>
    </row>
    <row r="564" spans="25:25" ht="20.100000000000001" customHeight="1" x14ac:dyDescent="0.3">
      <c r="Y564" s="33"/>
    </row>
    <row r="565" spans="25:25" ht="20.100000000000001" customHeight="1" x14ac:dyDescent="0.3">
      <c r="Y565" s="33"/>
    </row>
    <row r="566" spans="25:25" ht="20.100000000000001" customHeight="1" x14ac:dyDescent="0.3">
      <c r="Y566" s="33"/>
    </row>
    <row r="567" spans="25:25" ht="20.100000000000001" customHeight="1" x14ac:dyDescent="0.3">
      <c r="Y567" s="33"/>
    </row>
    <row r="568" spans="25:25" ht="20.100000000000001" customHeight="1" x14ac:dyDescent="0.3">
      <c r="Y568" s="33"/>
    </row>
    <row r="569" spans="25:25" ht="20.100000000000001" customHeight="1" x14ac:dyDescent="0.3">
      <c r="Y569" s="33"/>
    </row>
    <row r="570" spans="25:25" ht="20.100000000000001" customHeight="1" x14ac:dyDescent="0.3">
      <c r="Y570" s="33"/>
    </row>
    <row r="571" spans="25:25" ht="20.100000000000001" customHeight="1" x14ac:dyDescent="0.3">
      <c r="Y571" s="33"/>
    </row>
    <row r="572" spans="25:25" ht="20.100000000000001" customHeight="1" x14ac:dyDescent="0.3">
      <c r="Y572" s="33"/>
    </row>
    <row r="573" spans="25:25" ht="20.100000000000001" customHeight="1" x14ac:dyDescent="0.3">
      <c r="Y573" s="33"/>
    </row>
    <row r="574" spans="25:25" ht="20.100000000000001" customHeight="1" x14ac:dyDescent="0.3">
      <c r="Y574" s="33"/>
    </row>
    <row r="575" spans="25:25" ht="20.100000000000001" customHeight="1" x14ac:dyDescent="0.3">
      <c r="Y575" s="33"/>
    </row>
    <row r="576" spans="25:25" ht="20.100000000000001" customHeight="1" x14ac:dyDescent="0.3">
      <c r="Y576" s="33"/>
    </row>
    <row r="577" spans="25:25" ht="20.100000000000001" customHeight="1" x14ac:dyDescent="0.3">
      <c r="Y577" s="33"/>
    </row>
    <row r="578" spans="25:25" ht="20.100000000000001" customHeight="1" x14ac:dyDescent="0.3">
      <c r="Y578" s="33"/>
    </row>
    <row r="579" spans="25:25" ht="20.100000000000001" customHeight="1" x14ac:dyDescent="0.3">
      <c r="Y579" s="33"/>
    </row>
    <row r="580" spans="25:25" ht="20.100000000000001" customHeight="1" x14ac:dyDescent="0.3">
      <c r="Y580" s="33"/>
    </row>
    <row r="581" spans="25:25" ht="20.100000000000001" customHeight="1" x14ac:dyDescent="0.3">
      <c r="Y581" s="33"/>
    </row>
    <row r="582" spans="25:25" ht="20.100000000000001" customHeight="1" x14ac:dyDescent="0.3">
      <c r="Y582" s="33"/>
    </row>
    <row r="583" spans="25:25" ht="20.100000000000001" customHeight="1" x14ac:dyDescent="0.3">
      <c r="Y583" s="33"/>
    </row>
    <row r="584" spans="25:25" ht="20.100000000000001" customHeight="1" x14ac:dyDescent="0.3">
      <c r="Y584" s="33"/>
    </row>
    <row r="585" spans="25:25" ht="20.100000000000001" customHeight="1" x14ac:dyDescent="0.3">
      <c r="Y585" s="33"/>
    </row>
    <row r="586" spans="25:25" ht="20.100000000000001" customHeight="1" x14ac:dyDescent="0.3">
      <c r="Y586" s="33"/>
    </row>
    <row r="587" spans="25:25" ht="20.100000000000001" customHeight="1" x14ac:dyDescent="0.3">
      <c r="Y587" s="33"/>
    </row>
    <row r="588" spans="25:25" ht="20.100000000000001" customHeight="1" x14ac:dyDescent="0.3">
      <c r="Y588" s="33"/>
    </row>
    <row r="589" spans="25:25" ht="20.100000000000001" customHeight="1" x14ac:dyDescent="0.3">
      <c r="Y589" s="33"/>
    </row>
    <row r="590" spans="25:25" ht="20.100000000000001" customHeight="1" x14ac:dyDescent="0.3">
      <c r="Y590" s="33"/>
    </row>
    <row r="591" spans="25:25" ht="20.100000000000001" customHeight="1" x14ac:dyDescent="0.3">
      <c r="Y591" s="33"/>
    </row>
    <row r="592" spans="25:25" ht="20.100000000000001" customHeight="1" x14ac:dyDescent="0.3">
      <c r="Y592" s="33"/>
    </row>
    <row r="593" spans="25:25" ht="20.100000000000001" customHeight="1" x14ac:dyDescent="0.3">
      <c r="Y593" s="33"/>
    </row>
    <row r="594" spans="25:25" ht="20.100000000000001" customHeight="1" x14ac:dyDescent="0.3">
      <c r="Y594" s="33"/>
    </row>
    <row r="595" spans="25:25" ht="20.100000000000001" customHeight="1" x14ac:dyDescent="0.3">
      <c r="Y595" s="33"/>
    </row>
    <row r="596" spans="25:25" ht="20.100000000000001" customHeight="1" x14ac:dyDescent="0.3">
      <c r="Y596" s="33"/>
    </row>
    <row r="597" spans="25:25" ht="20.100000000000001" customHeight="1" x14ac:dyDescent="0.3">
      <c r="Y597" s="33"/>
    </row>
    <row r="598" spans="25:25" ht="20.100000000000001" customHeight="1" x14ac:dyDescent="0.3">
      <c r="Y598" s="33"/>
    </row>
    <row r="599" spans="25:25" ht="20.100000000000001" customHeight="1" x14ac:dyDescent="0.3">
      <c r="Y599" s="33"/>
    </row>
    <row r="600" spans="25:25" ht="20.100000000000001" customHeight="1" x14ac:dyDescent="0.3">
      <c r="Y600" s="33"/>
    </row>
    <row r="601" spans="25:25" ht="20.100000000000001" customHeight="1" x14ac:dyDescent="0.3">
      <c r="Y601" s="33"/>
    </row>
    <row r="602" spans="25:25" ht="20.100000000000001" customHeight="1" x14ac:dyDescent="0.3">
      <c r="Y602" s="33"/>
    </row>
    <row r="603" spans="25:25" ht="20.100000000000001" customHeight="1" x14ac:dyDescent="0.3">
      <c r="Y603" s="33"/>
    </row>
    <row r="604" spans="25:25" ht="20.100000000000001" customHeight="1" x14ac:dyDescent="0.3">
      <c r="Y604" s="33"/>
    </row>
    <row r="605" spans="25:25" ht="20.100000000000001" customHeight="1" x14ac:dyDescent="0.3">
      <c r="Y605" s="33"/>
    </row>
    <row r="606" spans="25:25" ht="20.100000000000001" customHeight="1" x14ac:dyDescent="0.3">
      <c r="Y606" s="33"/>
    </row>
    <row r="607" spans="25:25" ht="20.100000000000001" customHeight="1" x14ac:dyDescent="0.3">
      <c r="Y607" s="33"/>
    </row>
    <row r="608" spans="25:25" ht="20.100000000000001" customHeight="1" x14ac:dyDescent="0.3">
      <c r="Y608" s="33"/>
    </row>
    <row r="609" spans="25:25" ht="20.100000000000001" customHeight="1" x14ac:dyDescent="0.3">
      <c r="Y609" s="33"/>
    </row>
    <row r="610" spans="25:25" ht="20.100000000000001" customHeight="1" x14ac:dyDescent="0.3">
      <c r="Y610" s="33"/>
    </row>
    <row r="611" spans="25:25" ht="20.100000000000001" customHeight="1" x14ac:dyDescent="0.3">
      <c r="Y611" s="33"/>
    </row>
    <row r="612" spans="25:25" ht="20.100000000000001" customHeight="1" x14ac:dyDescent="0.3">
      <c r="Y612" s="33"/>
    </row>
    <row r="613" spans="25:25" ht="20.100000000000001" customHeight="1" x14ac:dyDescent="0.3">
      <c r="Y613" s="33"/>
    </row>
    <row r="614" spans="25:25" ht="20.100000000000001" customHeight="1" x14ac:dyDescent="0.3">
      <c r="Y614" s="33"/>
    </row>
    <row r="615" spans="25:25" ht="20.100000000000001" customHeight="1" x14ac:dyDescent="0.3">
      <c r="Y615" s="33"/>
    </row>
    <row r="616" spans="25:25" ht="20.100000000000001" customHeight="1" x14ac:dyDescent="0.3">
      <c r="Y616" s="33"/>
    </row>
    <row r="617" spans="25:25" ht="20.100000000000001" customHeight="1" x14ac:dyDescent="0.3">
      <c r="Y617" s="33"/>
    </row>
    <row r="618" spans="25:25" ht="20.100000000000001" customHeight="1" x14ac:dyDescent="0.3">
      <c r="Y618" s="33"/>
    </row>
    <row r="619" spans="25:25" ht="20.100000000000001" customHeight="1" x14ac:dyDescent="0.3">
      <c r="Y619" s="33"/>
    </row>
    <row r="620" spans="25:25" ht="20.100000000000001" customHeight="1" x14ac:dyDescent="0.3">
      <c r="Y620" s="33"/>
    </row>
    <row r="621" spans="25:25" ht="20.100000000000001" customHeight="1" x14ac:dyDescent="0.3">
      <c r="Y621" s="33"/>
    </row>
    <row r="622" spans="25:25" ht="20.100000000000001" customHeight="1" x14ac:dyDescent="0.3">
      <c r="Y622" s="33"/>
    </row>
    <row r="623" spans="25:25" ht="20.100000000000001" customHeight="1" x14ac:dyDescent="0.3">
      <c r="Y623" s="33"/>
    </row>
    <row r="624" spans="25:25" ht="20.100000000000001" customHeight="1" x14ac:dyDescent="0.3">
      <c r="Y624" s="33"/>
    </row>
    <row r="625" spans="25:25" ht="20.100000000000001" customHeight="1" x14ac:dyDescent="0.3">
      <c r="Y625" s="33"/>
    </row>
    <row r="626" spans="25:25" ht="20.100000000000001" customHeight="1" x14ac:dyDescent="0.3">
      <c r="Y626" s="33"/>
    </row>
    <row r="627" spans="25:25" ht="20.100000000000001" customHeight="1" x14ac:dyDescent="0.3">
      <c r="Y627" s="33"/>
    </row>
    <row r="628" spans="25:25" ht="20.100000000000001" customHeight="1" x14ac:dyDescent="0.3">
      <c r="Y628" s="33"/>
    </row>
    <row r="629" spans="25:25" ht="20.100000000000001" customHeight="1" x14ac:dyDescent="0.3">
      <c r="Y629" s="33"/>
    </row>
    <row r="630" spans="25:25" ht="20.100000000000001" customHeight="1" x14ac:dyDescent="0.3">
      <c r="Y630" s="33"/>
    </row>
    <row r="631" spans="25:25" ht="20.100000000000001" customHeight="1" x14ac:dyDescent="0.3">
      <c r="Y631" s="33"/>
    </row>
    <row r="632" spans="25:25" ht="20.100000000000001" customHeight="1" x14ac:dyDescent="0.3">
      <c r="Y632" s="33"/>
    </row>
    <row r="633" spans="25:25" ht="20.100000000000001" customHeight="1" x14ac:dyDescent="0.3">
      <c r="Y633" s="33"/>
    </row>
    <row r="634" spans="25:25" ht="20.100000000000001" customHeight="1" x14ac:dyDescent="0.3">
      <c r="Y634" s="33"/>
    </row>
    <row r="635" spans="25:25" ht="20.100000000000001" customHeight="1" x14ac:dyDescent="0.3">
      <c r="Y635" s="33"/>
    </row>
    <row r="636" spans="25:25" ht="20.100000000000001" customHeight="1" x14ac:dyDescent="0.3">
      <c r="Y636" s="33"/>
    </row>
    <row r="637" spans="25:25" ht="20.100000000000001" customHeight="1" x14ac:dyDescent="0.3">
      <c r="Y637" s="33"/>
    </row>
    <row r="638" spans="25:25" ht="20.100000000000001" customHeight="1" x14ac:dyDescent="0.3">
      <c r="Y638" s="33"/>
    </row>
    <row r="639" spans="25:25" ht="20.100000000000001" customHeight="1" x14ac:dyDescent="0.3">
      <c r="Y639" s="33"/>
    </row>
    <row r="640" spans="25:25" ht="20.100000000000001" customHeight="1" x14ac:dyDescent="0.3">
      <c r="Y640" s="33"/>
    </row>
    <row r="641" spans="25:25" ht="20.100000000000001" customHeight="1" x14ac:dyDescent="0.3">
      <c r="Y641" s="33"/>
    </row>
    <row r="642" spans="25:25" ht="20.100000000000001" customHeight="1" x14ac:dyDescent="0.3">
      <c r="Y642" s="33"/>
    </row>
    <row r="643" spans="25:25" ht="20.100000000000001" customHeight="1" x14ac:dyDescent="0.3">
      <c r="Y643" s="33"/>
    </row>
    <row r="644" spans="25:25" ht="20.100000000000001" customHeight="1" x14ac:dyDescent="0.3">
      <c r="Y644" s="33"/>
    </row>
    <row r="645" spans="25:25" ht="20.100000000000001" customHeight="1" x14ac:dyDescent="0.3">
      <c r="Y645" s="33"/>
    </row>
    <row r="646" spans="25:25" ht="20.100000000000001" customHeight="1" x14ac:dyDescent="0.3">
      <c r="Y646" s="33"/>
    </row>
    <row r="647" spans="25:25" ht="20.100000000000001" customHeight="1" x14ac:dyDescent="0.3">
      <c r="Y647" s="33"/>
    </row>
    <row r="648" spans="25:25" ht="20.100000000000001" customHeight="1" x14ac:dyDescent="0.3">
      <c r="Y648" s="33"/>
    </row>
    <row r="649" spans="25:25" ht="20.100000000000001" customHeight="1" x14ac:dyDescent="0.3">
      <c r="Y649" s="33"/>
    </row>
    <row r="650" spans="25:25" ht="20.100000000000001" customHeight="1" x14ac:dyDescent="0.3">
      <c r="Y650" s="33"/>
    </row>
    <row r="651" spans="25:25" ht="20.100000000000001" customHeight="1" x14ac:dyDescent="0.3">
      <c r="Y651" s="33"/>
    </row>
    <row r="652" spans="25:25" ht="20.100000000000001" customHeight="1" x14ac:dyDescent="0.3">
      <c r="Y652" s="33"/>
    </row>
    <row r="653" spans="25:25" ht="20.100000000000001" customHeight="1" x14ac:dyDescent="0.3">
      <c r="Y653" s="33"/>
    </row>
    <row r="654" spans="25:25" ht="20.100000000000001" customHeight="1" x14ac:dyDescent="0.3">
      <c r="Y654" s="33"/>
    </row>
    <row r="655" spans="25:25" ht="20.100000000000001" customHeight="1" x14ac:dyDescent="0.3">
      <c r="Y655" s="33"/>
    </row>
    <row r="656" spans="25:25" ht="20.100000000000001" customHeight="1" x14ac:dyDescent="0.3">
      <c r="Y656" s="33"/>
    </row>
    <row r="657" spans="25:25" ht="20.100000000000001" customHeight="1" x14ac:dyDescent="0.3">
      <c r="Y657" s="33"/>
    </row>
    <row r="658" spans="25:25" ht="20.100000000000001" customHeight="1" x14ac:dyDescent="0.3">
      <c r="Y658" s="33"/>
    </row>
    <row r="659" spans="25:25" ht="20.100000000000001" customHeight="1" x14ac:dyDescent="0.3">
      <c r="Y659" s="33"/>
    </row>
    <row r="660" spans="25:25" ht="20.100000000000001" customHeight="1" x14ac:dyDescent="0.3">
      <c r="Y660" s="33"/>
    </row>
    <row r="661" spans="25:25" ht="20.100000000000001" customHeight="1" x14ac:dyDescent="0.3">
      <c r="Y661" s="33"/>
    </row>
    <row r="662" spans="25:25" ht="20.100000000000001" customHeight="1" x14ac:dyDescent="0.3">
      <c r="Y662" s="33"/>
    </row>
    <row r="663" spans="25:25" ht="20.100000000000001" customHeight="1" x14ac:dyDescent="0.3">
      <c r="Y663" s="33"/>
    </row>
    <row r="664" spans="25:25" ht="20.100000000000001" customHeight="1" x14ac:dyDescent="0.3">
      <c r="Y664" s="33"/>
    </row>
    <row r="665" spans="25:25" ht="20.100000000000001" customHeight="1" x14ac:dyDescent="0.3">
      <c r="Y665" s="33"/>
    </row>
    <row r="666" spans="25:25" ht="20.100000000000001" customHeight="1" x14ac:dyDescent="0.3">
      <c r="Y666" s="33"/>
    </row>
    <row r="667" spans="25:25" ht="20.100000000000001" customHeight="1" x14ac:dyDescent="0.3">
      <c r="Y667" s="33"/>
    </row>
    <row r="668" spans="25:25" ht="20.100000000000001" customHeight="1" x14ac:dyDescent="0.3">
      <c r="Y668" s="33"/>
    </row>
    <row r="669" spans="25:25" ht="20.100000000000001" customHeight="1" x14ac:dyDescent="0.3">
      <c r="Y669" s="33"/>
    </row>
    <row r="670" spans="25:25" ht="20.100000000000001" customHeight="1" x14ac:dyDescent="0.3">
      <c r="Y670" s="33"/>
    </row>
    <row r="671" spans="25:25" ht="20.100000000000001" customHeight="1" x14ac:dyDescent="0.3">
      <c r="Y671" s="33"/>
    </row>
    <row r="672" spans="25:25" ht="20.100000000000001" customHeight="1" x14ac:dyDescent="0.3">
      <c r="Y672" s="33"/>
    </row>
    <row r="673" spans="25:25" ht="20.100000000000001" customHeight="1" x14ac:dyDescent="0.3">
      <c r="Y673" s="33"/>
    </row>
    <row r="674" spans="25:25" ht="20.100000000000001" customHeight="1" x14ac:dyDescent="0.3">
      <c r="Y674" s="33"/>
    </row>
    <row r="675" spans="25:25" ht="20.100000000000001" customHeight="1" x14ac:dyDescent="0.3">
      <c r="Y675" s="33"/>
    </row>
    <row r="676" spans="25:25" ht="20.100000000000001" customHeight="1" x14ac:dyDescent="0.3">
      <c r="Y676" s="33"/>
    </row>
    <row r="677" spans="25:25" ht="20.100000000000001" customHeight="1" x14ac:dyDescent="0.3">
      <c r="Y677" s="33"/>
    </row>
    <row r="678" spans="25:25" ht="20.100000000000001" customHeight="1" x14ac:dyDescent="0.3">
      <c r="Y678" s="33"/>
    </row>
    <row r="679" spans="25:25" ht="20.100000000000001" customHeight="1" x14ac:dyDescent="0.3">
      <c r="Y679" s="33"/>
    </row>
    <row r="680" spans="25:25" ht="20.100000000000001" customHeight="1" x14ac:dyDescent="0.3">
      <c r="Y680" s="33"/>
    </row>
    <row r="681" spans="25:25" ht="20.100000000000001" customHeight="1" x14ac:dyDescent="0.3">
      <c r="Y681" s="33"/>
    </row>
    <row r="682" spans="25:25" ht="20.100000000000001" customHeight="1" x14ac:dyDescent="0.3">
      <c r="Y682" s="33"/>
    </row>
    <row r="683" spans="25:25" ht="20.100000000000001" customHeight="1" x14ac:dyDescent="0.3">
      <c r="Y683" s="33"/>
    </row>
    <row r="684" spans="25:25" ht="20.100000000000001" customHeight="1" x14ac:dyDescent="0.3">
      <c r="Y684" s="33"/>
    </row>
    <row r="685" spans="25:25" ht="20.100000000000001" customHeight="1" x14ac:dyDescent="0.3">
      <c r="Y685" s="33"/>
    </row>
    <row r="686" spans="25:25" ht="20.100000000000001" customHeight="1" x14ac:dyDescent="0.3">
      <c r="Y686" s="33"/>
    </row>
    <row r="687" spans="25:25" ht="20.100000000000001" customHeight="1" x14ac:dyDescent="0.3">
      <c r="Y687" s="33"/>
    </row>
    <row r="688" spans="25:25" ht="20.100000000000001" customHeight="1" x14ac:dyDescent="0.3">
      <c r="Y688" s="33"/>
    </row>
    <row r="689" spans="25:25" ht="20.100000000000001" customHeight="1" x14ac:dyDescent="0.3">
      <c r="Y689" s="33"/>
    </row>
    <row r="690" spans="25:25" ht="20.100000000000001" customHeight="1" x14ac:dyDescent="0.3">
      <c r="Y690" s="33"/>
    </row>
    <row r="691" spans="25:25" ht="20.100000000000001" customHeight="1" x14ac:dyDescent="0.3">
      <c r="Y691" s="33"/>
    </row>
    <row r="692" spans="25:25" ht="20.100000000000001" customHeight="1" x14ac:dyDescent="0.3">
      <c r="Y692" s="33"/>
    </row>
    <row r="693" spans="25:25" ht="20.100000000000001" customHeight="1" x14ac:dyDescent="0.3">
      <c r="Y693" s="33"/>
    </row>
    <row r="694" spans="25:25" ht="20.100000000000001" customHeight="1" x14ac:dyDescent="0.3">
      <c r="Y694" s="33"/>
    </row>
    <row r="695" spans="25:25" ht="20.100000000000001" customHeight="1" x14ac:dyDescent="0.3">
      <c r="Y695" s="33"/>
    </row>
    <row r="696" spans="25:25" ht="20.100000000000001" customHeight="1" x14ac:dyDescent="0.3">
      <c r="Y696" s="33"/>
    </row>
    <row r="697" spans="25:25" ht="20.100000000000001" customHeight="1" x14ac:dyDescent="0.3">
      <c r="Y697" s="33"/>
    </row>
    <row r="698" spans="25:25" ht="20.100000000000001" customHeight="1" x14ac:dyDescent="0.3">
      <c r="Y698" s="33"/>
    </row>
    <row r="699" spans="25:25" ht="20.100000000000001" customHeight="1" x14ac:dyDescent="0.3">
      <c r="Y699" s="33"/>
    </row>
    <row r="700" spans="25:25" ht="20.100000000000001" customHeight="1" x14ac:dyDescent="0.3">
      <c r="Y700" s="33"/>
    </row>
    <row r="701" spans="25:25" ht="20.100000000000001" customHeight="1" x14ac:dyDescent="0.3">
      <c r="Y701" s="33"/>
    </row>
    <row r="702" spans="25:25" ht="20.100000000000001" customHeight="1" x14ac:dyDescent="0.3">
      <c r="Y702" s="33"/>
    </row>
    <row r="703" spans="25:25" ht="20.100000000000001" customHeight="1" x14ac:dyDescent="0.3">
      <c r="Y703" s="33"/>
    </row>
    <row r="704" spans="25:25" ht="20.100000000000001" customHeight="1" x14ac:dyDescent="0.3">
      <c r="Y704" s="33"/>
    </row>
    <row r="705" spans="25:25" ht="20.100000000000001" customHeight="1" x14ac:dyDescent="0.3">
      <c r="Y705" s="33"/>
    </row>
    <row r="706" spans="25:25" ht="20.100000000000001" customHeight="1" x14ac:dyDescent="0.3">
      <c r="Y706" s="33"/>
    </row>
    <row r="707" spans="25:25" ht="20.100000000000001" customHeight="1" x14ac:dyDescent="0.3">
      <c r="Y707" s="33"/>
    </row>
    <row r="708" spans="25:25" ht="20.100000000000001" customHeight="1" x14ac:dyDescent="0.3">
      <c r="Y708" s="33"/>
    </row>
    <row r="709" spans="25:25" ht="20.100000000000001" customHeight="1" x14ac:dyDescent="0.3">
      <c r="Y709" s="33"/>
    </row>
    <row r="710" spans="25:25" ht="20.100000000000001" customHeight="1" x14ac:dyDescent="0.3">
      <c r="Y710" s="33"/>
    </row>
    <row r="711" spans="25:25" ht="20.100000000000001" customHeight="1" x14ac:dyDescent="0.3">
      <c r="Y711" s="33"/>
    </row>
    <row r="712" spans="25:25" ht="20.100000000000001" customHeight="1" x14ac:dyDescent="0.3">
      <c r="Y712" s="33"/>
    </row>
    <row r="713" spans="25:25" ht="20.100000000000001" customHeight="1" x14ac:dyDescent="0.3">
      <c r="Y713" s="33"/>
    </row>
    <row r="714" spans="25:25" ht="20.100000000000001" customHeight="1" x14ac:dyDescent="0.3">
      <c r="Y714" s="33"/>
    </row>
    <row r="715" spans="25:25" ht="20.100000000000001" customHeight="1" x14ac:dyDescent="0.3">
      <c r="Y715" s="33"/>
    </row>
    <row r="716" spans="25:25" ht="20.100000000000001" customHeight="1" x14ac:dyDescent="0.3">
      <c r="Y716" s="33"/>
    </row>
    <row r="717" spans="25:25" ht="20.100000000000001" customHeight="1" x14ac:dyDescent="0.3">
      <c r="Y717" s="33"/>
    </row>
    <row r="718" spans="25:25" ht="20.100000000000001" customHeight="1" x14ac:dyDescent="0.3">
      <c r="Y718" s="33"/>
    </row>
    <row r="719" spans="25:25" ht="20.100000000000001" customHeight="1" x14ac:dyDescent="0.3">
      <c r="Y719" s="33"/>
    </row>
    <row r="720" spans="25:25" ht="20.100000000000001" customHeight="1" x14ac:dyDescent="0.3">
      <c r="Y720" s="33"/>
    </row>
    <row r="721" spans="25:25" ht="20.100000000000001" customHeight="1" x14ac:dyDescent="0.3">
      <c r="Y721" s="33"/>
    </row>
    <row r="722" spans="25:25" ht="20.100000000000001" customHeight="1" x14ac:dyDescent="0.3">
      <c r="Y722" s="33"/>
    </row>
    <row r="723" spans="25:25" ht="20.100000000000001" customHeight="1" x14ac:dyDescent="0.3">
      <c r="Y723" s="33"/>
    </row>
    <row r="724" spans="25:25" ht="20.100000000000001" customHeight="1" x14ac:dyDescent="0.3">
      <c r="Y724" s="33"/>
    </row>
    <row r="725" spans="25:25" ht="20.100000000000001" customHeight="1" x14ac:dyDescent="0.3">
      <c r="Y725" s="33"/>
    </row>
    <row r="726" spans="25:25" ht="20.100000000000001" customHeight="1" x14ac:dyDescent="0.3">
      <c r="Y726" s="33"/>
    </row>
    <row r="727" spans="25:25" ht="20.100000000000001" customHeight="1" x14ac:dyDescent="0.3">
      <c r="Y727" s="33"/>
    </row>
    <row r="728" spans="25:25" ht="20.100000000000001" customHeight="1" x14ac:dyDescent="0.3">
      <c r="Y728" s="33"/>
    </row>
    <row r="729" spans="25:25" ht="20.100000000000001" customHeight="1" x14ac:dyDescent="0.3">
      <c r="Y729" s="33"/>
    </row>
    <row r="730" spans="25:25" ht="20.100000000000001" customHeight="1" x14ac:dyDescent="0.3">
      <c r="Y730" s="33"/>
    </row>
    <row r="731" spans="25:25" ht="20.100000000000001" customHeight="1" x14ac:dyDescent="0.3">
      <c r="Y731" s="33"/>
    </row>
    <row r="732" spans="25:25" ht="20.100000000000001" customHeight="1" x14ac:dyDescent="0.3">
      <c r="Y732" s="33"/>
    </row>
    <row r="733" spans="25:25" ht="20.100000000000001" customHeight="1" x14ac:dyDescent="0.3">
      <c r="Y733" s="33"/>
    </row>
    <row r="734" spans="25:25" ht="20.100000000000001" customHeight="1" x14ac:dyDescent="0.3">
      <c r="Y734" s="33"/>
    </row>
    <row r="735" spans="25:25" ht="20.100000000000001" customHeight="1" x14ac:dyDescent="0.3">
      <c r="Y735" s="33"/>
    </row>
    <row r="736" spans="25:25" ht="20.100000000000001" customHeight="1" x14ac:dyDescent="0.3">
      <c r="Y736" s="33"/>
    </row>
    <row r="737" spans="25:25" ht="20.100000000000001" customHeight="1" x14ac:dyDescent="0.3">
      <c r="Y737" s="33"/>
    </row>
    <row r="738" spans="25:25" ht="20.100000000000001" customHeight="1" x14ac:dyDescent="0.3">
      <c r="Y738" s="33"/>
    </row>
    <row r="739" spans="25:25" ht="20.100000000000001" customHeight="1" x14ac:dyDescent="0.3">
      <c r="Y739" s="33"/>
    </row>
    <row r="740" spans="25:25" ht="20.100000000000001" customHeight="1" x14ac:dyDescent="0.3">
      <c r="Y740" s="33"/>
    </row>
    <row r="741" spans="25:25" ht="20.100000000000001" customHeight="1" x14ac:dyDescent="0.3">
      <c r="Y741" s="33"/>
    </row>
    <row r="742" spans="25:25" ht="20.100000000000001" customHeight="1" x14ac:dyDescent="0.3">
      <c r="Y742" s="33"/>
    </row>
    <row r="743" spans="25:25" ht="20.100000000000001" customHeight="1" x14ac:dyDescent="0.3">
      <c r="Y743" s="33"/>
    </row>
    <row r="744" spans="25:25" ht="20.100000000000001" customHeight="1" x14ac:dyDescent="0.3">
      <c r="Y744" s="33"/>
    </row>
    <row r="745" spans="25:25" ht="20.100000000000001" customHeight="1" x14ac:dyDescent="0.3">
      <c r="Y745" s="33"/>
    </row>
    <row r="746" spans="25:25" ht="20.100000000000001" customHeight="1" x14ac:dyDescent="0.3">
      <c r="Y746" s="33"/>
    </row>
    <row r="747" spans="25:25" ht="20.100000000000001" customHeight="1" x14ac:dyDescent="0.3">
      <c r="Y747" s="33"/>
    </row>
    <row r="748" spans="25:25" ht="20.100000000000001" customHeight="1" x14ac:dyDescent="0.3">
      <c r="Y748" s="33"/>
    </row>
    <row r="749" spans="25:25" ht="20.100000000000001" customHeight="1" x14ac:dyDescent="0.3">
      <c r="Y749" s="33"/>
    </row>
    <row r="750" spans="25:25" ht="20.100000000000001" customHeight="1" x14ac:dyDescent="0.3">
      <c r="Y750" s="33"/>
    </row>
    <row r="751" spans="25:25" ht="20.100000000000001" customHeight="1" x14ac:dyDescent="0.3">
      <c r="Y751" s="33"/>
    </row>
    <row r="752" spans="25:25" ht="20.100000000000001" customHeight="1" x14ac:dyDescent="0.3">
      <c r="Y752" s="33"/>
    </row>
    <row r="753" spans="25:25" ht="20.100000000000001" customHeight="1" x14ac:dyDescent="0.3">
      <c r="Y753" s="33"/>
    </row>
    <row r="754" spans="25:25" ht="20.100000000000001" customHeight="1" x14ac:dyDescent="0.3">
      <c r="Y754" s="33"/>
    </row>
    <row r="755" spans="25:25" ht="20.100000000000001" customHeight="1" x14ac:dyDescent="0.3">
      <c r="Y755" s="33"/>
    </row>
    <row r="756" spans="25:25" ht="20.100000000000001" customHeight="1" x14ac:dyDescent="0.3">
      <c r="Y756" s="33"/>
    </row>
    <row r="757" spans="25:25" ht="20.100000000000001" customHeight="1" x14ac:dyDescent="0.3">
      <c r="Y757" s="33"/>
    </row>
    <row r="758" spans="25:25" ht="20.100000000000001" customHeight="1" x14ac:dyDescent="0.3">
      <c r="Y758" s="33"/>
    </row>
    <row r="759" spans="25:25" ht="20.100000000000001" customHeight="1" x14ac:dyDescent="0.3">
      <c r="Y759" s="33"/>
    </row>
    <row r="760" spans="25:25" ht="20.100000000000001" customHeight="1" x14ac:dyDescent="0.3">
      <c r="Y760" s="33"/>
    </row>
    <row r="761" spans="25:25" ht="20.100000000000001" customHeight="1" x14ac:dyDescent="0.3">
      <c r="Y761" s="33"/>
    </row>
    <row r="762" spans="25:25" ht="20.100000000000001" customHeight="1" x14ac:dyDescent="0.3">
      <c r="Y762" s="33"/>
    </row>
    <row r="763" spans="25:25" ht="20.100000000000001" customHeight="1" x14ac:dyDescent="0.3">
      <c r="Y763" s="33"/>
    </row>
    <row r="764" spans="25:25" ht="20.100000000000001" customHeight="1" x14ac:dyDescent="0.3">
      <c r="Y764" s="33"/>
    </row>
    <row r="765" spans="25:25" ht="20.100000000000001" customHeight="1" x14ac:dyDescent="0.3">
      <c r="Y765" s="33"/>
    </row>
    <row r="766" spans="25:25" ht="20.100000000000001" customHeight="1" x14ac:dyDescent="0.3">
      <c r="Y766" s="33"/>
    </row>
    <row r="767" spans="25:25" ht="20.100000000000001" customHeight="1" x14ac:dyDescent="0.3">
      <c r="Y767" s="33"/>
    </row>
    <row r="768" spans="25:25" ht="20.100000000000001" customHeight="1" x14ac:dyDescent="0.3">
      <c r="Y768" s="33"/>
    </row>
    <row r="769" spans="25:25" ht="20.100000000000001" customHeight="1" x14ac:dyDescent="0.3">
      <c r="Y769" s="33"/>
    </row>
    <row r="770" spans="25:25" ht="20.100000000000001" customHeight="1" x14ac:dyDescent="0.3">
      <c r="Y770" s="33"/>
    </row>
    <row r="771" spans="25:25" ht="20.100000000000001" customHeight="1" x14ac:dyDescent="0.3">
      <c r="Y771" s="33"/>
    </row>
    <row r="772" spans="25:25" ht="20.100000000000001" customHeight="1" x14ac:dyDescent="0.3">
      <c r="Y772" s="33"/>
    </row>
    <row r="773" spans="25:25" ht="20.100000000000001" customHeight="1" x14ac:dyDescent="0.3">
      <c r="Y773" s="33"/>
    </row>
    <row r="774" spans="25:25" ht="20.100000000000001" customHeight="1" x14ac:dyDescent="0.3">
      <c r="Y774" s="33"/>
    </row>
    <row r="775" spans="25:25" ht="20.100000000000001" customHeight="1" x14ac:dyDescent="0.3">
      <c r="Y775" s="33"/>
    </row>
    <row r="776" spans="25:25" ht="20.100000000000001" customHeight="1" x14ac:dyDescent="0.3">
      <c r="Y776" s="33"/>
    </row>
    <row r="777" spans="25:25" ht="20.100000000000001" customHeight="1" x14ac:dyDescent="0.3">
      <c r="Y777" s="33"/>
    </row>
    <row r="778" spans="25:25" ht="20.100000000000001" customHeight="1" x14ac:dyDescent="0.3">
      <c r="Y778" s="33"/>
    </row>
    <row r="779" spans="25:25" ht="20.100000000000001" customHeight="1" x14ac:dyDescent="0.3">
      <c r="Y779" s="33"/>
    </row>
    <row r="780" spans="25:25" ht="20.100000000000001" customHeight="1" x14ac:dyDescent="0.3">
      <c r="Y780" s="33"/>
    </row>
    <row r="781" spans="25:25" ht="20.100000000000001" customHeight="1" x14ac:dyDescent="0.3">
      <c r="Y781" s="33"/>
    </row>
    <row r="782" spans="25:25" ht="20.100000000000001" customHeight="1" x14ac:dyDescent="0.3">
      <c r="Y782" s="33"/>
    </row>
    <row r="783" spans="25:25" ht="20.100000000000001" customHeight="1" x14ac:dyDescent="0.3">
      <c r="Y783" s="33"/>
    </row>
    <row r="784" spans="25:25" ht="20.100000000000001" customHeight="1" x14ac:dyDescent="0.3">
      <c r="Y784" s="33"/>
    </row>
    <row r="785" spans="25:25" ht="20.100000000000001" customHeight="1" x14ac:dyDescent="0.3">
      <c r="Y785" s="33"/>
    </row>
    <row r="786" spans="25:25" ht="20.100000000000001" customHeight="1" x14ac:dyDescent="0.3">
      <c r="Y786" s="33"/>
    </row>
    <row r="787" spans="25:25" ht="20.100000000000001" customHeight="1" x14ac:dyDescent="0.3">
      <c r="Y787" s="33"/>
    </row>
    <row r="788" spans="25:25" ht="20.100000000000001" customHeight="1" x14ac:dyDescent="0.3">
      <c r="Y788" s="33"/>
    </row>
    <row r="789" spans="25:25" ht="20.100000000000001" customHeight="1" x14ac:dyDescent="0.3">
      <c r="Y789" s="33"/>
    </row>
    <row r="790" spans="25:25" ht="20.100000000000001" customHeight="1" x14ac:dyDescent="0.3">
      <c r="Y790" s="33"/>
    </row>
    <row r="791" spans="25:25" ht="20.100000000000001" customHeight="1" x14ac:dyDescent="0.3">
      <c r="Y791" s="33"/>
    </row>
    <row r="792" spans="25:25" ht="20.100000000000001" customHeight="1" x14ac:dyDescent="0.3">
      <c r="Y792" s="33"/>
    </row>
    <row r="793" spans="25:25" ht="20.100000000000001" customHeight="1" x14ac:dyDescent="0.3">
      <c r="Y793" s="33"/>
    </row>
    <row r="794" spans="25:25" ht="20.100000000000001" customHeight="1" x14ac:dyDescent="0.3">
      <c r="Y794" s="33"/>
    </row>
    <row r="795" spans="25:25" ht="20.100000000000001" customHeight="1" x14ac:dyDescent="0.3">
      <c r="Y795" s="33"/>
    </row>
    <row r="796" spans="25:25" ht="20.100000000000001" customHeight="1" x14ac:dyDescent="0.3">
      <c r="Y796" s="33"/>
    </row>
    <row r="797" spans="25:25" ht="20.100000000000001" customHeight="1" x14ac:dyDescent="0.3">
      <c r="Y797" s="33"/>
    </row>
    <row r="798" spans="25:25" ht="20.100000000000001" customHeight="1" x14ac:dyDescent="0.3">
      <c r="Y798" s="33"/>
    </row>
    <row r="799" spans="25:25" ht="20.100000000000001" customHeight="1" x14ac:dyDescent="0.3">
      <c r="Y799" s="33"/>
    </row>
    <row r="800" spans="25:25" ht="20.100000000000001" customHeight="1" x14ac:dyDescent="0.3">
      <c r="Y800" s="33"/>
    </row>
    <row r="801" spans="25:25" ht="20.100000000000001" customHeight="1" x14ac:dyDescent="0.3">
      <c r="Y801" s="33"/>
    </row>
    <row r="802" spans="25:25" ht="20.100000000000001" customHeight="1" x14ac:dyDescent="0.3">
      <c r="Y802" s="33"/>
    </row>
    <row r="803" spans="25:25" ht="20.100000000000001" customHeight="1" x14ac:dyDescent="0.3">
      <c r="Y803" s="33"/>
    </row>
    <row r="804" spans="25:25" ht="20.100000000000001" customHeight="1" x14ac:dyDescent="0.3">
      <c r="Y804" s="33"/>
    </row>
    <row r="805" spans="25:25" ht="20.100000000000001" customHeight="1" x14ac:dyDescent="0.3">
      <c r="Y805" s="33"/>
    </row>
    <row r="806" spans="25:25" ht="20.100000000000001" customHeight="1" x14ac:dyDescent="0.3">
      <c r="Y806" s="33"/>
    </row>
    <row r="807" spans="25:25" ht="20.100000000000001" customHeight="1" x14ac:dyDescent="0.3">
      <c r="Y807" s="33"/>
    </row>
    <row r="808" spans="25:25" ht="20.100000000000001" customHeight="1" x14ac:dyDescent="0.3">
      <c r="Y808" s="33"/>
    </row>
    <row r="809" spans="25:25" ht="20.100000000000001" customHeight="1" x14ac:dyDescent="0.3">
      <c r="Y809" s="33"/>
    </row>
    <row r="810" spans="25:25" ht="20.100000000000001" customHeight="1" x14ac:dyDescent="0.3">
      <c r="Y810" s="33"/>
    </row>
    <row r="811" spans="25:25" ht="20.100000000000001" customHeight="1" x14ac:dyDescent="0.3">
      <c r="Y811" s="33"/>
    </row>
    <row r="812" spans="25:25" ht="20.100000000000001" customHeight="1" x14ac:dyDescent="0.3">
      <c r="Y812" s="33"/>
    </row>
    <row r="813" spans="25:25" ht="20.100000000000001" customHeight="1" x14ac:dyDescent="0.3">
      <c r="Y813" s="33"/>
    </row>
    <row r="814" spans="25:25" ht="20.100000000000001" customHeight="1" x14ac:dyDescent="0.3">
      <c r="Y814" s="33"/>
    </row>
    <row r="815" spans="25:25" ht="20.100000000000001" customHeight="1" x14ac:dyDescent="0.3">
      <c r="Y815" s="33"/>
    </row>
    <row r="816" spans="25:25" ht="20.100000000000001" customHeight="1" x14ac:dyDescent="0.3">
      <c r="Y816" s="33"/>
    </row>
    <row r="817" spans="25:25" ht="20.100000000000001" customHeight="1" x14ac:dyDescent="0.3">
      <c r="Y817" s="33"/>
    </row>
    <row r="818" spans="25:25" ht="20.100000000000001" customHeight="1" x14ac:dyDescent="0.3">
      <c r="Y818" s="33"/>
    </row>
    <row r="819" spans="25:25" ht="20.100000000000001" customHeight="1" x14ac:dyDescent="0.3">
      <c r="Y819" s="33"/>
    </row>
    <row r="820" spans="25:25" ht="20.100000000000001" customHeight="1" x14ac:dyDescent="0.3">
      <c r="Y820" s="33"/>
    </row>
    <row r="821" spans="25:25" ht="20.100000000000001" customHeight="1" x14ac:dyDescent="0.3">
      <c r="Y821" s="33"/>
    </row>
    <row r="822" spans="25:25" ht="20.100000000000001" customHeight="1" x14ac:dyDescent="0.3">
      <c r="Y822" s="33"/>
    </row>
    <row r="823" spans="25:25" ht="20.100000000000001" customHeight="1" x14ac:dyDescent="0.3">
      <c r="Y823" s="33"/>
    </row>
    <row r="824" spans="25:25" ht="20.100000000000001" customHeight="1" x14ac:dyDescent="0.3">
      <c r="Y824" s="33"/>
    </row>
    <row r="825" spans="25:25" ht="20.100000000000001" customHeight="1" x14ac:dyDescent="0.3">
      <c r="Y825" s="33"/>
    </row>
    <row r="826" spans="25:25" ht="20.100000000000001" customHeight="1" x14ac:dyDescent="0.3">
      <c r="Y826" s="33"/>
    </row>
    <row r="827" spans="25:25" ht="20.100000000000001" customHeight="1" x14ac:dyDescent="0.3">
      <c r="Y827" s="33"/>
    </row>
    <row r="828" spans="25:25" ht="20.100000000000001" customHeight="1" x14ac:dyDescent="0.3">
      <c r="Y828" s="33"/>
    </row>
    <row r="829" spans="25:25" ht="20.100000000000001" customHeight="1" x14ac:dyDescent="0.3">
      <c r="Y829" s="33"/>
    </row>
    <row r="830" spans="25:25" ht="20.100000000000001" customHeight="1" x14ac:dyDescent="0.3">
      <c r="Y830" s="33"/>
    </row>
    <row r="831" spans="25:25" ht="20.100000000000001" customHeight="1" x14ac:dyDescent="0.3">
      <c r="Y831" s="33"/>
    </row>
    <row r="832" spans="25:25" ht="20.100000000000001" customHeight="1" x14ac:dyDescent="0.3">
      <c r="Y832" s="33"/>
    </row>
    <row r="833" spans="25:25" ht="20.100000000000001" customHeight="1" x14ac:dyDescent="0.3">
      <c r="Y833" s="33"/>
    </row>
    <row r="834" spans="25:25" ht="20.100000000000001" customHeight="1" x14ac:dyDescent="0.3">
      <c r="Y834" s="33"/>
    </row>
    <row r="835" spans="25:25" ht="20.100000000000001" customHeight="1" x14ac:dyDescent="0.3">
      <c r="Y835" s="33"/>
    </row>
    <row r="836" spans="25:25" ht="20.100000000000001" customHeight="1" x14ac:dyDescent="0.3">
      <c r="Y836" s="33"/>
    </row>
    <row r="837" spans="25:25" ht="20.100000000000001" customHeight="1" x14ac:dyDescent="0.3">
      <c r="Y837" s="33"/>
    </row>
    <row r="838" spans="25:25" ht="20.100000000000001" customHeight="1" x14ac:dyDescent="0.3">
      <c r="Y838" s="33"/>
    </row>
    <row r="839" spans="25:25" ht="20.100000000000001" customHeight="1" x14ac:dyDescent="0.3">
      <c r="Y839" s="33"/>
    </row>
    <row r="840" spans="25:25" ht="20.100000000000001" customHeight="1" x14ac:dyDescent="0.3">
      <c r="Y840" s="33"/>
    </row>
    <row r="841" spans="25:25" ht="20.100000000000001" customHeight="1" x14ac:dyDescent="0.3">
      <c r="Y841" s="33"/>
    </row>
    <row r="842" spans="25:25" ht="20.100000000000001" customHeight="1" x14ac:dyDescent="0.3">
      <c r="Y842" s="33"/>
    </row>
    <row r="843" spans="25:25" ht="20.100000000000001" customHeight="1" x14ac:dyDescent="0.3">
      <c r="Y843" s="33"/>
    </row>
    <row r="844" spans="25:25" ht="20.100000000000001" customHeight="1" x14ac:dyDescent="0.3">
      <c r="Y844" s="33"/>
    </row>
    <row r="845" spans="25:25" ht="20.100000000000001" customHeight="1" x14ac:dyDescent="0.3">
      <c r="Y845" s="33"/>
    </row>
    <row r="846" spans="25:25" ht="20.100000000000001" customHeight="1" x14ac:dyDescent="0.3">
      <c r="Y846" s="33"/>
    </row>
    <row r="847" spans="25:25" ht="20.100000000000001" customHeight="1" x14ac:dyDescent="0.3">
      <c r="Y847" s="33"/>
    </row>
    <row r="848" spans="25:25" ht="20.100000000000001" customHeight="1" x14ac:dyDescent="0.3">
      <c r="Y848" s="33"/>
    </row>
    <row r="849" spans="25:25" ht="20.100000000000001" customHeight="1" x14ac:dyDescent="0.3">
      <c r="Y849" s="33"/>
    </row>
    <row r="850" spans="25:25" ht="20.100000000000001" customHeight="1" x14ac:dyDescent="0.3">
      <c r="Y850" s="33"/>
    </row>
    <row r="851" spans="25:25" ht="20.100000000000001" customHeight="1" x14ac:dyDescent="0.3">
      <c r="Y851" s="33"/>
    </row>
    <row r="852" spans="25:25" ht="20.100000000000001" customHeight="1" x14ac:dyDescent="0.3">
      <c r="Y852" s="33"/>
    </row>
    <row r="853" spans="25:25" ht="20.100000000000001" customHeight="1" x14ac:dyDescent="0.3">
      <c r="Y853" s="33"/>
    </row>
    <row r="854" spans="25:25" ht="20.100000000000001" customHeight="1" x14ac:dyDescent="0.3">
      <c r="Y854" s="33"/>
    </row>
    <row r="855" spans="25:25" ht="20.100000000000001" customHeight="1" x14ac:dyDescent="0.3">
      <c r="Y855" s="33"/>
    </row>
    <row r="856" spans="25:25" ht="20.100000000000001" customHeight="1" x14ac:dyDescent="0.3">
      <c r="Y856" s="33"/>
    </row>
    <row r="857" spans="25:25" ht="20.100000000000001" customHeight="1" x14ac:dyDescent="0.3">
      <c r="Y857" s="33"/>
    </row>
    <row r="858" spans="25:25" ht="20.100000000000001" customHeight="1" x14ac:dyDescent="0.3">
      <c r="Y858" s="33"/>
    </row>
    <row r="859" spans="25:25" ht="20.100000000000001" customHeight="1" x14ac:dyDescent="0.3">
      <c r="Y859" s="33"/>
    </row>
    <row r="860" spans="25:25" ht="20.100000000000001" customHeight="1" x14ac:dyDescent="0.3">
      <c r="Y860" s="33"/>
    </row>
    <row r="861" spans="25:25" ht="20.100000000000001" customHeight="1" x14ac:dyDescent="0.3">
      <c r="Y861" s="33"/>
    </row>
    <row r="862" spans="25:25" ht="20.100000000000001" customHeight="1" x14ac:dyDescent="0.3">
      <c r="Y862" s="33"/>
    </row>
    <row r="863" spans="25:25" x14ac:dyDescent="0.3">
      <c r="Y863" s="33"/>
    </row>
    <row r="864" spans="25:25" x14ac:dyDescent="0.3">
      <c r="Y864" s="33"/>
    </row>
    <row r="865" spans="25:25" x14ac:dyDescent="0.3">
      <c r="Y865" s="33"/>
    </row>
    <row r="866" spans="25:25" x14ac:dyDescent="0.3">
      <c r="Y866" s="33"/>
    </row>
    <row r="867" spans="25:25" x14ac:dyDescent="0.3">
      <c r="Y867" s="33"/>
    </row>
    <row r="868" spans="25:25" x14ac:dyDescent="0.3">
      <c r="Y868" s="33"/>
    </row>
    <row r="869" spans="25:25" x14ac:dyDescent="0.3">
      <c r="Y869" s="33"/>
    </row>
    <row r="870" spans="25:25" x14ac:dyDescent="0.3">
      <c r="Y870" s="33"/>
    </row>
  </sheetData>
  <autoFilter ref="A1:Y123"/>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CR28"/>
  <sheetViews>
    <sheetView topLeftCell="CE4" workbookViewId="0">
      <selection activeCell="CR9" sqref="CR9"/>
    </sheetView>
  </sheetViews>
  <sheetFormatPr defaultRowHeight="14.4" x14ac:dyDescent="0.3"/>
  <cols>
    <col min="3" max="3" width="14.5546875" customWidth="1"/>
    <col min="4" max="4" width="15.88671875" customWidth="1"/>
    <col min="5" max="5" width="12.5546875" bestFit="1" customWidth="1"/>
    <col min="9" max="9" width="8.88671875" style="59"/>
    <col min="12" max="12" width="16.5546875" customWidth="1"/>
    <col min="13" max="13" width="9.6640625" customWidth="1"/>
    <col min="16" max="16" width="8.88671875" style="59"/>
    <col min="18" max="19" width="17.77734375" customWidth="1"/>
    <col min="26" max="26" width="8.88671875" style="59"/>
    <col min="29" max="29" width="12.5546875" customWidth="1"/>
    <col min="30" max="30" width="13.6640625" customWidth="1"/>
    <col min="37" max="37" width="8.88671875" style="59"/>
    <col min="41" max="41" width="12.5546875" customWidth="1"/>
    <col min="42" max="43" width="12.88671875" customWidth="1"/>
    <col min="45" max="45" width="8.88671875" style="59"/>
    <col min="47" max="47" width="12.5546875" customWidth="1"/>
    <col min="48" max="48" width="17.44140625" customWidth="1"/>
    <col min="49" max="49" width="17.44140625" bestFit="1" customWidth="1"/>
    <col min="52" max="52" width="10.44140625" customWidth="1"/>
    <col min="54" max="54" width="8.88671875" style="59"/>
    <col min="56" max="56" width="12.5546875" customWidth="1"/>
    <col min="57" max="57" width="24.44140625" customWidth="1"/>
    <col min="64" max="64" width="8.88671875" style="59"/>
    <col min="67" max="67" width="10.77734375" customWidth="1"/>
    <col min="68" max="68" width="12.6640625" customWidth="1"/>
    <col min="69" max="69" width="15.5546875" customWidth="1"/>
    <col min="70" max="71" width="10.77734375" customWidth="1"/>
    <col min="77" max="77" width="8.88671875" style="59"/>
    <col min="80" max="80" width="12.5546875" customWidth="1"/>
    <col min="81" max="81" width="16.5546875" customWidth="1"/>
    <col min="82" max="82" width="3.33203125" customWidth="1"/>
    <col min="83" max="83" width="7" customWidth="1"/>
    <col min="84" max="84" width="12.6640625" customWidth="1"/>
    <col min="85" max="86" width="16.5546875" bestFit="1" customWidth="1"/>
    <col min="90" max="90" width="8.88671875" style="59"/>
    <col min="95" max="95" width="12.109375" customWidth="1"/>
    <col min="96" max="96" width="16.5546875" customWidth="1"/>
  </cols>
  <sheetData>
    <row r="3" spans="3:96" ht="46.2" x14ac:dyDescent="0.85">
      <c r="C3" s="60" t="s">
        <v>334</v>
      </c>
      <c r="D3" s="59"/>
      <c r="E3" s="59"/>
      <c r="F3" s="59"/>
      <c r="K3" s="60" t="s">
        <v>336</v>
      </c>
      <c r="L3" s="59"/>
      <c r="M3" s="59"/>
      <c r="N3" s="59"/>
      <c r="R3" s="60" t="s">
        <v>338</v>
      </c>
      <c r="S3" s="59"/>
      <c r="T3" s="59"/>
      <c r="U3" s="59"/>
      <c r="V3" s="59"/>
      <c r="W3" s="59"/>
      <c r="X3" s="59"/>
      <c r="AC3" s="60" t="s">
        <v>340</v>
      </c>
      <c r="AD3" s="59"/>
      <c r="AE3" s="59"/>
      <c r="AF3" s="59"/>
      <c r="AG3" s="59"/>
      <c r="AH3" s="59"/>
      <c r="AI3" s="59"/>
      <c r="AM3" s="60" t="s">
        <v>349</v>
      </c>
      <c r="AN3" s="59"/>
      <c r="AO3" s="60"/>
      <c r="AP3" s="60"/>
      <c r="AQ3" s="60"/>
      <c r="AR3" s="59"/>
      <c r="AV3" s="60" t="s">
        <v>351</v>
      </c>
      <c r="AW3" s="59"/>
      <c r="AX3" s="60"/>
      <c r="AY3" s="60"/>
      <c r="AZ3" s="60"/>
      <c r="BD3" s="60" t="s">
        <v>353</v>
      </c>
      <c r="BE3" s="60"/>
      <c r="BF3" s="60"/>
      <c r="BG3" s="59"/>
      <c r="BH3" s="59"/>
      <c r="BI3" s="59"/>
      <c r="BJ3" s="59"/>
      <c r="BO3" s="60" t="s">
        <v>358</v>
      </c>
      <c r="BP3" s="60"/>
      <c r="BQ3" s="60"/>
      <c r="BR3" s="59"/>
      <c r="BS3" s="59"/>
      <c r="BT3" s="59"/>
      <c r="BU3" s="59"/>
      <c r="BV3" s="59"/>
      <c r="BW3" s="59"/>
      <c r="CC3" s="60" t="s">
        <v>360</v>
      </c>
      <c r="CD3" s="60"/>
      <c r="CE3" s="59"/>
      <c r="CF3" s="59"/>
      <c r="CG3" s="59"/>
    </row>
    <row r="5" spans="3:96" x14ac:dyDescent="0.3">
      <c r="CQ5" s="65" t="s">
        <v>318</v>
      </c>
      <c r="CR5" t="s">
        <v>337</v>
      </c>
    </row>
    <row r="6" spans="3:96" x14ac:dyDescent="0.3">
      <c r="CQ6" s="66" t="s">
        <v>361</v>
      </c>
      <c r="CR6" s="62">
        <v>24</v>
      </c>
    </row>
    <row r="7" spans="3:96" x14ac:dyDescent="0.3">
      <c r="CQ7" s="66" t="s">
        <v>52</v>
      </c>
      <c r="CR7" s="62">
        <v>14</v>
      </c>
    </row>
    <row r="8" spans="3:96" x14ac:dyDescent="0.3">
      <c r="CB8" s="65" t="s">
        <v>347</v>
      </c>
      <c r="CC8" t="s">
        <v>337</v>
      </c>
      <c r="CQ8" s="66" t="s">
        <v>34</v>
      </c>
      <c r="CR8" s="62">
        <v>8</v>
      </c>
    </row>
    <row r="9" spans="3:96" x14ac:dyDescent="0.3">
      <c r="R9" t="s">
        <v>339</v>
      </c>
      <c r="AO9" s="65" t="s">
        <v>347</v>
      </c>
      <c r="AP9" t="s">
        <v>362</v>
      </c>
      <c r="BD9" s="65" t="s">
        <v>347</v>
      </c>
      <c r="BE9" t="s">
        <v>355</v>
      </c>
      <c r="CB9" s="66" t="s">
        <v>361</v>
      </c>
      <c r="CC9" s="61">
        <v>24</v>
      </c>
      <c r="CQ9" s="66" t="s">
        <v>326</v>
      </c>
      <c r="CR9" s="62">
        <v>7</v>
      </c>
    </row>
    <row r="10" spans="3:96" x14ac:dyDescent="0.3">
      <c r="C10" t="s">
        <v>335</v>
      </c>
      <c r="L10" t="s">
        <v>337</v>
      </c>
      <c r="R10" s="63">
        <v>10282.743020165288</v>
      </c>
      <c r="AC10" s="65" t="s">
        <v>347</v>
      </c>
      <c r="AD10" t="s">
        <v>363</v>
      </c>
      <c r="AO10" s="39" t="s">
        <v>127</v>
      </c>
      <c r="AP10" s="62">
        <v>86</v>
      </c>
      <c r="BD10" s="66" t="s">
        <v>356</v>
      </c>
      <c r="BE10" s="70">
        <v>0.60606060606060608</v>
      </c>
      <c r="CB10" s="66" t="s">
        <v>52</v>
      </c>
      <c r="CC10" s="61">
        <v>14</v>
      </c>
      <c r="CQ10" s="66" t="s">
        <v>322</v>
      </c>
      <c r="CR10" s="62">
        <v>6</v>
      </c>
    </row>
    <row r="11" spans="3:96" x14ac:dyDescent="0.3">
      <c r="C11" s="62">
        <v>1244211.9054399999</v>
      </c>
      <c r="L11" s="61">
        <v>122</v>
      </c>
      <c r="AC11" s="66" t="s">
        <v>342</v>
      </c>
      <c r="AD11" s="67">
        <v>77</v>
      </c>
      <c r="AO11" s="39" t="s">
        <v>170</v>
      </c>
      <c r="AP11" s="62">
        <v>17</v>
      </c>
      <c r="AU11" s="65" t="s">
        <v>347</v>
      </c>
      <c r="AV11" t="s">
        <v>364</v>
      </c>
      <c r="BD11" s="66" t="s">
        <v>357</v>
      </c>
      <c r="BE11" s="70">
        <v>0.39393939393939392</v>
      </c>
      <c r="CB11" s="66" t="s">
        <v>34</v>
      </c>
      <c r="CC11" s="61">
        <v>8</v>
      </c>
      <c r="CF11" s="75"/>
      <c r="CG11" s="76"/>
      <c r="CH11" s="77"/>
      <c r="CQ11" s="66" t="s">
        <v>324</v>
      </c>
      <c r="CR11" s="62">
        <v>5</v>
      </c>
    </row>
    <row r="12" spans="3:96" x14ac:dyDescent="0.3">
      <c r="AC12" s="66" t="s">
        <v>22</v>
      </c>
      <c r="AD12" s="67">
        <v>16</v>
      </c>
      <c r="AO12" s="39" t="s">
        <v>230</v>
      </c>
      <c r="AP12" s="62">
        <v>16</v>
      </c>
      <c r="AU12" s="66" t="s">
        <v>171</v>
      </c>
      <c r="AV12" s="62">
        <v>45</v>
      </c>
      <c r="BD12" s="66" t="s">
        <v>350</v>
      </c>
      <c r="BE12" s="70">
        <v>0</v>
      </c>
      <c r="BO12" s="68" t="s">
        <v>163</v>
      </c>
      <c r="BP12" t="s">
        <v>359</v>
      </c>
      <c r="CB12" s="66" t="s">
        <v>326</v>
      </c>
      <c r="CC12" s="61">
        <v>7</v>
      </c>
      <c r="CF12" s="78"/>
      <c r="CG12" s="79"/>
      <c r="CH12" s="80"/>
      <c r="CQ12" s="66" t="s">
        <v>25</v>
      </c>
      <c r="CR12" s="62">
        <v>5</v>
      </c>
    </row>
    <row r="13" spans="3:96" x14ac:dyDescent="0.3">
      <c r="AC13" s="66" t="s">
        <v>344</v>
      </c>
      <c r="AD13" s="67">
        <v>12</v>
      </c>
      <c r="AO13" s="39" t="s">
        <v>137</v>
      </c>
      <c r="AP13" s="62">
        <v>1</v>
      </c>
      <c r="AU13" s="66" t="s">
        <v>140</v>
      </c>
      <c r="AV13" s="62">
        <v>37</v>
      </c>
      <c r="BD13" s="66" t="s">
        <v>348</v>
      </c>
      <c r="BE13" s="70">
        <v>1</v>
      </c>
      <c r="BO13" s="66" t="s">
        <v>165</v>
      </c>
      <c r="BP13" s="70">
        <v>0.83606557377049184</v>
      </c>
      <c r="CB13" s="66" t="s">
        <v>322</v>
      </c>
      <c r="CC13" s="61">
        <v>6</v>
      </c>
      <c r="CF13" s="78"/>
      <c r="CG13" s="79"/>
      <c r="CH13" s="80"/>
      <c r="CQ13" s="66" t="s">
        <v>325</v>
      </c>
      <c r="CR13" s="62">
        <v>4</v>
      </c>
    </row>
    <row r="14" spans="3:96" x14ac:dyDescent="0.3">
      <c r="E14" s="71">
        <f>GETPIVOTDATA("سعر البيع ",$C$10)</f>
        <v>1244211.9054399999</v>
      </c>
      <c r="AC14" s="66" t="s">
        <v>32</v>
      </c>
      <c r="AD14" s="67">
        <v>7</v>
      </c>
      <c r="AO14" s="39" t="s">
        <v>134</v>
      </c>
      <c r="AP14" s="62">
        <v>1</v>
      </c>
      <c r="AU14" s="66" t="s">
        <v>145</v>
      </c>
      <c r="AV14" s="62">
        <v>8</v>
      </c>
      <c r="BO14" s="66" t="s">
        <v>266</v>
      </c>
      <c r="BP14" s="70">
        <v>0.16393442622950818</v>
      </c>
      <c r="CB14" s="66" t="s">
        <v>324</v>
      </c>
      <c r="CC14" s="61">
        <v>5</v>
      </c>
      <c r="CF14" s="78"/>
      <c r="CG14" s="79"/>
      <c r="CH14" s="80"/>
      <c r="CQ14" s="66" t="s">
        <v>174</v>
      </c>
      <c r="CR14" s="62">
        <v>4</v>
      </c>
    </row>
    <row r="15" spans="3:96" x14ac:dyDescent="0.3">
      <c r="AC15" s="66" t="s">
        <v>174</v>
      </c>
      <c r="AD15" s="62">
        <v>4</v>
      </c>
      <c r="AO15" s="39" t="s">
        <v>180</v>
      </c>
      <c r="AP15" s="62">
        <v>1</v>
      </c>
      <c r="AU15" s="66" t="s">
        <v>143</v>
      </c>
      <c r="AV15" s="62">
        <v>3</v>
      </c>
      <c r="BO15" s="66" t="s">
        <v>348</v>
      </c>
      <c r="BP15" s="70">
        <v>1</v>
      </c>
      <c r="CB15" s="66" t="s">
        <v>25</v>
      </c>
      <c r="CC15" s="61">
        <v>5</v>
      </c>
      <c r="CF15" s="78"/>
      <c r="CG15" s="79"/>
      <c r="CH15" s="80"/>
      <c r="CQ15" s="66" t="s">
        <v>319</v>
      </c>
      <c r="CR15" s="62">
        <v>4</v>
      </c>
    </row>
    <row r="16" spans="3:96" x14ac:dyDescent="0.3">
      <c r="S16" s="72">
        <f>GETPIVOTDATA("سعر البيع ",$R$9)</f>
        <v>10282.743020165288</v>
      </c>
      <c r="AC16" s="66" t="s">
        <v>343</v>
      </c>
      <c r="AD16" s="67">
        <v>3</v>
      </c>
      <c r="AO16" s="66" t="s">
        <v>348</v>
      </c>
      <c r="AP16" s="63">
        <v>122</v>
      </c>
      <c r="AU16" s="66" t="s">
        <v>191</v>
      </c>
      <c r="AV16" s="62">
        <v>2</v>
      </c>
      <c r="CB16" s="66" t="s">
        <v>325</v>
      </c>
      <c r="CC16" s="61">
        <v>4</v>
      </c>
      <c r="CF16" s="78"/>
      <c r="CG16" s="79"/>
      <c r="CH16" s="80"/>
      <c r="CQ16" s="66" t="s">
        <v>348</v>
      </c>
      <c r="CR16" s="62">
        <v>81</v>
      </c>
    </row>
    <row r="17" spans="12:86" x14ac:dyDescent="0.3">
      <c r="L17">
        <f>GETPIVOTDATA("أسم العميل",$L$10)</f>
        <v>122</v>
      </c>
      <c r="AC17" s="66" t="s">
        <v>345</v>
      </c>
      <c r="AD17" s="67">
        <v>2</v>
      </c>
      <c r="AU17" s="66" t="s">
        <v>149</v>
      </c>
      <c r="AV17" s="62">
        <v>2</v>
      </c>
      <c r="CB17" s="66" t="s">
        <v>174</v>
      </c>
      <c r="CC17" s="61">
        <v>4</v>
      </c>
      <c r="CF17" s="78"/>
      <c r="CG17" s="79"/>
      <c r="CH17" s="80"/>
    </row>
    <row r="18" spans="12:86" x14ac:dyDescent="0.3">
      <c r="AC18" s="66" t="s">
        <v>346</v>
      </c>
      <c r="AD18" s="62">
        <v>1</v>
      </c>
      <c r="AU18" s="66" t="s">
        <v>201</v>
      </c>
      <c r="AV18" s="62">
        <v>2</v>
      </c>
      <c r="CB18" s="66" t="s">
        <v>319</v>
      </c>
      <c r="CC18" s="61">
        <v>4</v>
      </c>
      <c r="CF18" s="78"/>
      <c r="CG18" s="79"/>
      <c r="CH18" s="80"/>
    </row>
    <row r="19" spans="12:86" x14ac:dyDescent="0.3">
      <c r="AC19" s="66" t="s">
        <v>348</v>
      </c>
      <c r="AD19" s="63">
        <v>122</v>
      </c>
      <c r="AU19" s="66" t="s">
        <v>167</v>
      </c>
      <c r="AV19" s="62">
        <v>2</v>
      </c>
      <c r="CB19" s="66" t="s">
        <v>348</v>
      </c>
      <c r="CC19" s="61">
        <v>81</v>
      </c>
      <c r="CF19" s="78"/>
      <c r="CG19" s="79"/>
      <c r="CH19" s="80"/>
    </row>
    <row r="20" spans="12:86" x14ac:dyDescent="0.3">
      <c r="AU20" s="66" t="s">
        <v>146</v>
      </c>
      <c r="AV20" s="62">
        <v>2</v>
      </c>
      <c r="CF20" s="78"/>
      <c r="CG20" s="79"/>
      <c r="CH20" s="80"/>
    </row>
    <row r="21" spans="12:86" x14ac:dyDescent="0.3">
      <c r="AU21" s="66" t="s">
        <v>176</v>
      </c>
      <c r="AV21" s="62">
        <v>1</v>
      </c>
      <c r="CF21" s="78"/>
      <c r="CG21" s="79"/>
      <c r="CH21" s="80"/>
    </row>
    <row r="22" spans="12:86" x14ac:dyDescent="0.3">
      <c r="AU22" s="66" t="s">
        <v>181</v>
      </c>
      <c r="AV22" s="62">
        <v>1</v>
      </c>
      <c r="CF22" s="78"/>
      <c r="CG22" s="79"/>
      <c r="CH22" s="80"/>
    </row>
    <row r="23" spans="12:86" x14ac:dyDescent="0.3">
      <c r="AU23" s="66" t="s">
        <v>350</v>
      </c>
      <c r="AV23" s="62"/>
      <c r="CF23" s="78"/>
      <c r="CG23" s="79"/>
      <c r="CH23" s="80"/>
    </row>
    <row r="24" spans="12:86" x14ac:dyDescent="0.3">
      <c r="AU24" s="66" t="s">
        <v>348</v>
      </c>
      <c r="AV24" s="63">
        <v>105</v>
      </c>
      <c r="CF24" s="78"/>
      <c r="CG24" s="79"/>
      <c r="CH24" s="80"/>
    </row>
    <row r="25" spans="12:86" x14ac:dyDescent="0.3">
      <c r="CF25" s="78"/>
      <c r="CG25" s="79"/>
      <c r="CH25" s="80"/>
    </row>
    <row r="26" spans="12:86" x14ac:dyDescent="0.3">
      <c r="CF26" s="78"/>
      <c r="CG26" s="79"/>
      <c r="CH26" s="80"/>
    </row>
    <row r="27" spans="12:86" x14ac:dyDescent="0.3">
      <c r="CF27" s="78"/>
      <c r="CG27" s="79"/>
      <c r="CH27" s="80"/>
    </row>
    <row r="28" spans="12:86" x14ac:dyDescent="0.3">
      <c r="CF28" s="81"/>
      <c r="CG28" s="82"/>
      <c r="CH28" s="83"/>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
  <sheetViews>
    <sheetView showGridLines="0" tabSelected="1" zoomScale="92" workbookViewId="0">
      <selection activeCell="N5" sqref="N5"/>
    </sheetView>
  </sheetViews>
  <sheetFormatPr defaultRowHeight="14.4" x14ac:dyDescent="0.3"/>
  <cols>
    <col min="1" max="16384" width="8.88671875" style="74"/>
  </cols>
  <sheetData>
    <row r="2" spans="1:1" x14ac:dyDescent="0.3">
      <c r="A2" s="7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AB6FC0-8D14-44D1-B8C0-4B03D93B82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الارشادات</vt:lpstr>
      <vt:lpstr>البيانات</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dcterms:created xsi:type="dcterms:W3CDTF">2015-06-05T18:17:20Z</dcterms:created>
  <dcterms:modified xsi:type="dcterms:W3CDTF">2026-01-17T15:17:27Z</dcterms:modified>
</cp:coreProperties>
</file>